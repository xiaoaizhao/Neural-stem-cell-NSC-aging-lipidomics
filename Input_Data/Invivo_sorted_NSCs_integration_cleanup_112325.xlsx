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jgoleft/Desktop/"/>
    </mc:Choice>
  </mc:AlternateContent>
  <xr:revisionPtr revIDLastSave="0" documentId="13_ncr:9_{315DDEE6-80D8-C54A-AD02-CAA4D70E6F1D}" xr6:coauthVersionLast="47" xr6:coauthVersionMax="47" xr10:uidLastSave="{00000000-0000-0000-0000-000000000000}"/>
  <bookViews>
    <workbookView xWindow="7000" yWindow="1220" windowWidth="28040" windowHeight="17440" activeTab="1" xr2:uid="{D6486E6A-E373-4945-8702-B042163E8F04}"/>
  </bookViews>
  <sheets>
    <sheet name="Invivo_sorted_NSCs_validated_11" sheetId="1" r:id="rId1"/>
    <sheet name="low_score_new_lipids" sheetId="2" r:id="rId2"/>
  </sheets>
  <definedNames>
    <definedName name="_xlnm._FilterDatabase" localSheetId="0" hidden="1">Invivo_sorted_NSCs_validated_11!$A$1:$BG$49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G3" i="2" l="1"/>
  <c r="BG4" i="2"/>
  <c r="BG2" i="2"/>
</calcChain>
</file>

<file path=xl/sharedStrings.xml><?xml version="1.0" encoding="utf-8"?>
<sst xmlns="http://purl.oclc.org/ooxml/spreadsheetml/main" count="779" uniqueCount="456">
  <si>
    <t>Polarity</t>
  </si>
  <si>
    <t>Alignment.ID</t>
  </si>
  <si>
    <t>Average.Rt.min.</t>
  </si>
  <si>
    <t>Average.Mz</t>
  </si>
  <si>
    <t>Metabolite.name</t>
  </si>
  <si>
    <t>Metabolite</t>
  </si>
  <si>
    <t>Adduct.type</t>
  </si>
  <si>
    <t>Post.curation.result</t>
  </si>
  <si>
    <t>Fill..</t>
  </si>
  <si>
    <t>MS.MS.assigned</t>
  </si>
  <si>
    <t>Reference.RT</t>
  </si>
  <si>
    <t>Reference.m.z</t>
  </si>
  <si>
    <t>Formula</t>
  </si>
  <si>
    <t>Ontology</t>
  </si>
  <si>
    <t>INCHIKEY</t>
  </si>
  <si>
    <t>SMILES</t>
  </si>
  <si>
    <t>Annotation.tag..VS1.0.</t>
  </si>
  <si>
    <t>RT.matched</t>
  </si>
  <si>
    <t>m.z.matched</t>
  </si>
  <si>
    <t>MS.MS.matched</t>
  </si>
  <si>
    <t>Comment</t>
  </si>
  <si>
    <t>Manually.modified.for.quantification</t>
  </si>
  <si>
    <t>Manually.modified.for.annotation</t>
  </si>
  <si>
    <t>Isotope.tracking.parent.ID</t>
  </si>
  <si>
    <t>Isotope.tracking.weight.number</t>
  </si>
  <si>
    <t>RT.similarity</t>
  </si>
  <si>
    <t>m.z.similarity</t>
  </si>
  <si>
    <t>Simple.dot.product</t>
  </si>
  <si>
    <t>Weighted.dot.product</t>
  </si>
  <si>
    <t>Reverse.dot.product</t>
  </si>
  <si>
    <t>Matched.peaks.count</t>
  </si>
  <si>
    <t>Matched.peaks.percentage</t>
  </si>
  <si>
    <t>Total.score</t>
  </si>
  <si>
    <t>S.N.average</t>
  </si>
  <si>
    <t>Spectrum.reference.file.name</t>
  </si>
  <si>
    <t>MS1.isotopic.spectrum</t>
  </si>
  <si>
    <t>MS.MS.spectrum</t>
  </si>
  <si>
    <t>QC.low_MSMS_pos2</t>
  </si>
  <si>
    <t>XY.pos_1</t>
  </si>
  <si>
    <t>XY.pos_10</t>
  </si>
  <si>
    <t>XY.pos_11</t>
  </si>
  <si>
    <t>XY.pos_12</t>
  </si>
  <si>
    <t>XY.pos_13</t>
  </si>
  <si>
    <t>XY.pos_14</t>
  </si>
  <si>
    <t>XY.pos_15</t>
  </si>
  <si>
    <t>XY.pos_16</t>
  </si>
  <si>
    <t>XY.pos_17</t>
  </si>
  <si>
    <t>XY.pos_19</t>
  </si>
  <si>
    <t>XY.pos_2</t>
  </si>
  <si>
    <t>XY.pos_3</t>
  </si>
  <si>
    <t>XY.pos_4</t>
  </si>
  <si>
    <t>XY.pos_5</t>
  </si>
  <si>
    <t>XY.pos_6</t>
  </si>
  <si>
    <t>XY.pos_7</t>
  </si>
  <si>
    <t>XY.pos_8</t>
  </si>
  <si>
    <t>XY.pos_9</t>
  </si>
  <si>
    <t>X1</t>
  </si>
  <si>
    <t>X1.1</t>
  </si>
  <si>
    <t>ppm</t>
  </si>
  <si>
    <t>Neg</t>
  </si>
  <si>
    <t>PS 36:1|PS 18:0_18:1</t>
  </si>
  <si>
    <t>PS 18:0_18:1</t>
  </si>
  <si>
    <t>[M-H]-</t>
  </si>
  <si>
    <t>null</t>
  </si>
  <si>
    <t>C42H80NO10P</t>
  </si>
  <si>
    <t>PS</t>
  </si>
  <si>
    <t>AJFWREUFUPEYII-UHFFFAOYSA-N</t>
  </si>
  <si>
    <t>O=C(OCC(OC(=O)CCCCCCCC=CCCCCCCCC)COP(=O)(O)OCC(N)C(=O)O)CCCCCCCCCCCCCCCCC</t>
  </si>
  <si>
    <t>Normalized unit: Intensity; Annotation method: Msp20250218112233_NCDK_conventional_converted_dev_1</t>
  </si>
  <si>
    <t>QC-low_MSMS_neg1</t>
  </si>
  <si>
    <t>788.54510:756141 789.54977:376382 790.55444:98020</t>
  </si>
  <si>
    <t>78.95579:17725 82.29729:3925 94.40160:3837 94.43636:3959 94.44586:4251 109.92346:3310 110.31458:3796 128.37146:3842 128.51517:3472 128.60107:5794 129.03452:4064 152.80415:3504 152.89534:3621 152.99593:40060 153.00671:5753 153.34785:3140 153.56636:3436 153.58253:3390 154.18039:3185 155.42773:3297 171.89433:4123 185.05946:3758 228.50841:5038 228.90697:4904 229.69272:4469 260.54428:3752 279.23483:5289 281.24869:37539 283.26419:110144 289.13007:5176 289.27292:5335 290.17346:4134 362.49402:4622 375.29965:5067 377.55289:4940 377.76364:5846 379.04236:6255 388.66830:9327 417.24158:13399 419.25684:74736 435.25317:4849 437.26749:32347 514.00323:5760 514.69464:5632 516.13690:4395 521.77271:5948 701.51093:40522 741.13098:4602 741.75909:4946 743.44373:6846</t>
  </si>
  <si>
    <t>PS 36:2|PS 18:0_18:2</t>
  </si>
  <si>
    <t>PS 18:0_18:2</t>
  </si>
  <si>
    <t>C42H78NO10P</t>
  </si>
  <si>
    <t>AGTPCXBHIGMTEU-UHFFFAOYSA-N</t>
  </si>
  <si>
    <t>O=C(OCC(OC(=O)CCCCCCCC=CCC=CCCCCC)COP(=O)(O)OCC(N)C(=O)O)CCCCCCCCCCCCCCCCC</t>
  </si>
  <si>
    <t>786.52911:104184 787.53378:37289 788.53845:0</t>
  </si>
  <si>
    <t>78.95586:3912 82.27618:3475 87.20135:3975 94.38612:2984 94.66562:4033 94.67112:3367 94.69582:3471 95.18446:3186 100.99193:3208 113.68654:3940 120.52018:3329 128.10333:3817 128.59018:3863 128.59900:4063 128.63326:4631 128.92316:3956 129.03535:3594 144.11008:3241 152.96835:4841 152.99597:5815 153.33635:4166 153.34755:4468 171.02296:4399 185.00189:3625 185.15274:4242 271.94589:4682 279.23529:6076 283.26498:14657 289.24670:5430 289.27673:5636 290.11420:5969 319.57800:3974 377.74585:4636 377.78809:5331 378.99927:5427 379.08508:4841 388.54172:6574 419.25690:11760 452.15271:4474 514.00659:8877 514.07886:7870 514.63123:5838 515.68640:4724 515.98859:5023 516.05908:5943 516.13019:5070 586.22974:4354 699.50000:22123 739.85706:6746</t>
  </si>
  <si>
    <t>PS 40:6|PS 18:0_22:6</t>
  </si>
  <si>
    <t>PS 18:0_22:6</t>
  </si>
  <si>
    <t>C46H78NO10P</t>
  </si>
  <si>
    <t>LYYHRRPTEXPVOR-UHFFFAOYSA-N</t>
  </si>
  <si>
    <t>O=C(OCC(OC(=O)CCC=CCC=CCC=CCC=CCC=CCC=CCC)COP(=O)(O)OCC(N)C(=O)O)CCCCCCCCCCCCCCCCC</t>
  </si>
  <si>
    <t>834.53333:142879 835.53799:258778 836.54266:0</t>
  </si>
  <si>
    <t>78.95567:50276 82.31146:4094 82.48042:3698 94.44859:3722 94.68704:3293 94.78635:3643 94.79893:4271 96.96017:35921 96.96954:140080 99.07980:3508 109.52849:4895 109.83268:3437 109.89783:4613 123.73637:3539 128.55122:4001 128.60309:4605 149.24237:3992 149.91052:3509 152.93108:6430 152.99527:12555 153.02907:5468 153.52458:3334 153.81180:3776 177.21483:3708 185.07503:5207 185.14380:6322 185.16068:4250 185.20717:4227 185.24060:4968 185.51411:4041 185.74501:4822 185.89497:4038 228.44215:4960 228.53558:6116 228.62303:7971 229.13945:4817 229.33665:4596 229.44165:4394 283.26450:35550 287.28726:5681 287.96622:5108 289.18225:6259 289.34418:5597 289.60159:4955 290.17657:6380 290.32300:7370 310.23087:4707 327.23474:7745 377.80109:8925 379.09143:9283 379.31210:5450 389.30585:5926 419.25919:19193 514.00470:4834 514.09613:9996 514.40253:5111 514.79303:5974 516.06067:4722 516.14252:9305 552.56299:4373 722.61603:31013 740.02863:6435 743.43146:5315 743.55835:6461 747.49481:9563</t>
  </si>
  <si>
    <t>PI 34:2|PI 16:0_18:2</t>
  </si>
  <si>
    <t>PI 16:0_18:2</t>
  </si>
  <si>
    <t>C43H79O13P</t>
  </si>
  <si>
    <t>PI</t>
  </si>
  <si>
    <t>BSNJSZUDOMPYIR-UHFFFAOYSA-N</t>
  </si>
  <si>
    <t>O=C(OCC(OC(=O)CCCCCCCC=CCC=CCCCCC)COP(=O)(O)OC1C(O)C(O)C(O)C(O)C1O)CCCCCCCCCCCCCCC</t>
  </si>
  <si>
    <t>833.52191:97464 834.52658:59404 835.53125:0</t>
  </si>
  <si>
    <t>82.26004:5153 82.27969:4120 82.47517:6056 82.62856:3807 94.41248:4983 94.73360:4136 94.78590:4206 94.97801:3981 109.49378:4075 109.55174:5026 109.55897:3846 109.79130:4422 109.82406:3755 109.92620:4770 109.95949:3862 128.01787:4000 128.43669:3791 128.56035:5309 128.98537:5419 129.02644:4806 129.06908:5397 129.45911:3917 152.91960:4507 152.96896:4614 152.98042:4888 152.99617:4844 153.02956:6480 153.07704:3689 153.58627:4306 185.42973:4966 185.50288:3935 185.72728:5205 185.79970:6643 185.87332:3953 228.41656:4085 228.52750:7747 228.61586:5419 228.93535:4297 229.32465:8228 241.01227:5889 255.23415:9229 279.23312:8526 289.15402:5609 289.30917:6862 289.59448:3990 290.17480:5255 290.31610:6880 290.46091:5809 377.34885:4101 377.58304:4803 377.77295:6395 377.82022:5190 378.19916:8459 379.06726:7358 392.44754:5427 514.07764:6503 514.38324:5309 514.68805:4093 514.75616:4978 515.72540:5418 516.06561:5072 516.13129:7159 572.69641:4433 739.93774:5481 740.57117:6167 741.09644:7150 741.73767:4668 742.89941:7470 743.47235:9769 744.07629:4503 833.52130:23843</t>
  </si>
  <si>
    <t>PI 36:1|PI 18:0_18:1</t>
  </si>
  <si>
    <t>PI 18:0_18:1</t>
  </si>
  <si>
    <t>C45H85O13P</t>
  </si>
  <si>
    <t>YOBFISPJJWPPTK-UHFFFAOYSA-N</t>
  </si>
  <si>
    <t>O=C(OCC(OC(=O)CCCCCCCC=CCCCCCCCC)COP(=O)(O)OC1C(O)C(O)C(O)C(O)C1O)CCCCCCCCCCCCCCCCC</t>
  </si>
  <si>
    <t>863.56476:157183 864.56943:88051 865.57409:0</t>
  </si>
  <si>
    <t>82.26524:4877 82.37483:3790 82.39874:3455 82.54595:3476 94.41926:6765 94.46947:4468 94.55427:5431 94.68650:6626 97.29290:7246 109.73451:4472 109.90320:4445 110.23866:3635 115.62808:3682 128.78404:3992 128.99763:6955 129.03654:3933 152.99593:6219 153.03964:5028 153.37532:4041 153.48517:4196 153.52458:4109 153.53757:7320 153.64052:3999 185.08284:4642 185.14688:4865 185.24731:3930 185.74069:4849 190.86980:4288 228.44325:4494 228.54887:4942 229.25336:5396 229.34630:5171 241.01184:10145 281.24884:15841 283.26398:6034 285.00314:4079 289.18686:4810 289.33429:6613 290.18564:7180 290.31741:4925 332.90976:5476 377.59634:5640 377.81900:9547 378.89297:4747 379.08765:6281 379.73233:4790 386.52579:6144 419.25415:5486 424.27185:5066 513.44745:4900 514.08826:9787 516.16882:8579 581.31158:5739 739.95990:6278 741.18060:5387 742.89276:7312 743.55585:7813 823.98962:4981 863.56622:42622</t>
  </si>
  <si>
    <t>PI 36:2|PI 18:0_18:2</t>
  </si>
  <si>
    <t>PI 18:0_18:2</t>
  </si>
  <si>
    <t>C45H83O13P</t>
  </si>
  <si>
    <t>KZVRAFHIKMDULK-UHFFFAOYSA-N</t>
  </si>
  <si>
    <t>O=C(OCC(OC(=O)CCCCCCCC=CCC=CCCCCC)COP(=O)(O)OC1C(O)C(O)C(O)C(O)C1O)CCCCCCCCCCCCCCCCC</t>
  </si>
  <si>
    <t>861.55084:738122 862.55551:555385 863.56018:315464</t>
  </si>
  <si>
    <t>78.95586:6393 82.25307:4102 82.40725:4406 92.34879:3629 94.38199:4164 94.49322:4257 94.67542:6205 95.68579:3815 101.46339:3275 102.95681:30490 109.34949:3595 109.55389:5600 109.72225:5277 109.82314:4536 120.93999:4207 128.46562:3550 128.55453:4321 128.76851:6723 129.01834:4894 134.98538:4147 152.64668:4396 152.67963:4070 152.99597:18183 153.02122:4547 153.25392:3831 171.23920:4358 184.98569:4524 185.04588:5512 185.06172:5010 185.12325:6113 185.33276:4245 185.36511:4307 185.72844:5003 199.41457:4189 223.00214:18269 228.59952:6036 229.21510:5492 241.01208:69563 250.55141:5267 259.02173:7244 279.23318:79313 279.26288:6838 281.24969:7556 283.26434:80019 288.03317:5369 289.14807:5998 289.26337:4184 289.29382:5823 290.13477:7551 290.30170:7416 297.03879:16042 377.75824:9182 377.80261:8063 378.20367:5479 379.06146:7193 379.25812:7711 385.62952:5895 385.67758:6563 413.05222:5442 417.24200:7487 419.25571:39506 513.99841:7206 514.34241:4763 514.70154:6026 516.07184:8501 577.27966:12872 581.31110:38614 599.32068:7636 708.51013:6090 726.65662:5118 739.93579:6648 740.65997:4953 741.02643:6311 741.61432:6439 742.85065:6780 743.38641:7148 861.54974:263246</t>
  </si>
  <si>
    <t>PI 36:3|PI 18:1_18:2</t>
  </si>
  <si>
    <t>PI 18:1_18:2</t>
  </si>
  <si>
    <t>C45H81O13P</t>
  </si>
  <si>
    <t>MXJMOLQIXMJUEL-UHFFFAOYSA-N</t>
  </si>
  <si>
    <t>O=C(OCC(OC(=O)CCCCCCCC=CCC=CCCCCC)COP(=O)(O)OC1C(O)C(O)C(O)C(O)C1O)CCCCCCCC=CCCCCCCCC</t>
  </si>
  <si>
    <t>859.53235:28343 860.53702:0 861.54168:0</t>
  </si>
  <si>
    <t>82.24818:5419 82.50559:4063 94.39827:3606 94.66231:4875 94.74474:3637 94.77096:4173 95.35030:3115 95.93578:3149 97.29984:12717 102.95638:7137 104.63483:4337 109.46993:3516 109.47701:4837 109.50642:6051 109.61598:3550 109.90253:3958 128.50262:4848 128.53139:4531 128.53990:5794 128.57826:4499 128.76152:4215 128.99706:4591 129.33330:3491 137.89299:4186 152.85065:4620 152.94460:5456 152.99454:5299 153.00589:5387 153.16031:3502 153.41084:3260 153.54886:4793 157.23457:4662 159.51868:3196 185.10249:6416 185.12148:3979 185.16765:4400 185.63713:3688 185.75235:6798 228.07718:4400 228.46962:4404 228.57977:5737 229.18829:4076 241.01181:4659 279.23477:5307 281.24924:9892 289.33337:5193 290.09756:4677 290.13300:4377 290.27893:6997 356.31113:5367 370.32297:4503 377.34924:4297 379.00998:6364 379.22101:4602 390.26041:5793 417.24179:7441 513.92157:5856 514.01056:5787 514.09235:6828 516.07281:5640 619.97858:4743 739.31091:4906 739.82556:5990 739.96503:8423 740.48077:6748 740.99347:6334 741.48102:4964 742.79498:5045 743.38171:5203 859.53625:32241</t>
  </si>
  <si>
    <t>PI 36:4|PI 16:0_20:4</t>
  </si>
  <si>
    <t>PI 16:0_20:4</t>
  </si>
  <si>
    <t>C45H79O13P</t>
  </si>
  <si>
    <t>VWRYMIZQLPXULA-UHFFFAOYSA-N</t>
  </si>
  <si>
    <t>O=C(OCC(OC(=O)CCCCCCC=CCC=CCC=CCC=CCC)COP(=O)(O)OC1C(O)C(O)C(O)C(O)C1O)CCCCCCCCCCCCCCC</t>
  </si>
  <si>
    <t>857.51886:319631 858.52353:151398 859.52820:42899</t>
  </si>
  <si>
    <t>82.17738:4051 82.38951:3866 82.49963:4965 94.52562:4028 94.60719:4472 109.53359:4390 109.56799:5957 109.88087:3445 125.41677:3656 127.34812:3819 128.77950:4541 128.82185:4256 128.90895:3652 128.96205:3929 128.98186:5179 137.04247:3785 151.77461:4239 152.48422:4001 152.99654:9128 153.10126:6412 154.11504:4020 185.06105:4180 185.19464:3934 185.21158:4140 185.79976:4516 185.89995:4273 212.69411:3886 228.45674:7371 228.62236:5558 229.13167:4772 229.64053:4631 241.01224:16045 255.23395:23167 282.15405:4294 289.29736:6961 290.30511:6119 303.23273:30007 377.74814:5050 377.80673:6853 379.07321:4712 387.08347:7853 387.12933:6934 391.22690:15158 391.82697:4932 514.07471:6256 516.07294:6138 516.15063:7079 553.28040:13239 739.93298:8669 740.54407:7715 741.15833:6801 743.40808:6005 743.53210:10783 857.51947:51495</t>
  </si>
  <si>
    <t>PI 38:3|PI 18:0_20:3</t>
  </si>
  <si>
    <t>PI 18:0_20:3</t>
  </si>
  <si>
    <t>C47H85O13P</t>
  </si>
  <si>
    <t>GGSSNEAFVQRIHU-UHFFFAOYSA-N</t>
  </si>
  <si>
    <t>O=C(OCC(OC(=O)CCCCCCCCCC=CCC=CCC=CCC)COP(=O)(O)OC1C(O)C(O)C(O)C(O)C1O)CCCCCCCCCCCCCCCCC</t>
  </si>
  <si>
    <t>887.56567:277488 888.57034:138260 889.57501:70215</t>
  </si>
  <si>
    <t>82.29973:3881 82.42101:4532 82.44447:3671 82.46705:3434 82.48457:5308 82.50719:4101 82.52804:3860 93.26299:3511 94.42358:5041 94.61082:3800 94.83041:3513 102.95686:4677 106.91270:3570 109.50061:3981 109.53947:4391 109.56998:4956 109.73517:4930 109.90585:5041 109.91597:3624 109.93061:4405 109.93957:4456 128.33327:4188 128.56027:4307 128.61447:4744 129.08778:4540 129.10562:4543 152.93774:5564 153.00078:3947 153.04013:4010 153.32098:4350 153.48471:6417 153.61015:4411 153.71196:4592 178.90364:4145 185.01143:6049 185.07843:6038 185.14708:3615 185.21391:3833 185.59286:3869 185.65930:3205 227.83527:4385 228.45804:5561 228.55176:5317 229.34238:5242 229.36285:5715 241.01251:13447 283.26337:21381 289.32224:6137 290.19534:8175 290.34311:4930 305.24911:13515 374.94034:4520 377.12512:5230 377.40054:6748 377.79871:9615 377.84592:6300 379.10260:6579 379.32468:6489 386.31854:9046 405.48627:4747 419.25772:14170 486.85495:4994 514.13525:6413 514.44653:5587 515.78033:4828 516.13440:7402 516.48560:5696 543.58057:5372 581.30823:13399 689.44305:5904 740.03149:5632 740.57690:6658 743.00360:7120 743.48224:7606 743.61237:7985 871.54199:5125 887.56964:43612</t>
  </si>
  <si>
    <t>PI 38:4|PI 18:0_20:4</t>
  </si>
  <si>
    <t>PI 18:0_20:4</t>
  </si>
  <si>
    <t>C47H83O13P</t>
  </si>
  <si>
    <t>OJESNYFIPWSOPO-UHFFFAOYSA-N</t>
  </si>
  <si>
    <t>O=C(OCC(OC(=O)CCCCCCC=CCC=CCC=CCC=CCC)COP(=O)(O)OC1C(O)C(O)C(O)C(O)C1O)CCCCCCCCCCCCCCCCC</t>
  </si>
  <si>
    <t>885.54962:1729569 886.55429:839401 887.55896:312890</t>
  </si>
  <si>
    <t>78.95565:11134 82.31085:4075 82.47862:4088 82.56473:4476 86.47540:3714 94.44695:4815 94.47467:4207 94.48367:3604 109.57552:3958 109.65068:4621 109.75124:4297 110.26826:4109 112.98582:10844 128.62538:5566 128.63551:4524 128.67606:4050 129.08913:5326 152.99588:18470 153.05206:4552 153.63339:4925 185.04622:4175 185.12132:4723 185.19797:6160 185.25462:3733 185.27203:6207 223.00153:11569 229.31097:5374 241.01213:65601 283.26468:72722 289.39951:5581 290.40207:6341 297.03833:8026 303.23270:79210 374.36392:4443 377.86038:6327 377.90741:5211 379.15710:5165 379.20505:5213 379.35156:4853 386.54883:6577 419.25662:36549 419.30350:4192 437.26965:5452 470.38986:4762 514.00970:5060 514.22394:6535 514.49213:5211 581.30670:34734 599.32281:8271 601.27814:6698 621.53027:4508 695.23431:5761 701.94537:4763 741.25732:6911 743.59839:7034 885.55035:214723</t>
  </si>
  <si>
    <t>PI 38:5|PI 18:1_20:4</t>
  </si>
  <si>
    <t>PI 18:1_20:4a</t>
  </si>
  <si>
    <t>C47H81O13P</t>
  </si>
  <si>
    <t>XGZVRASBCZTHNO-UHFFFAOYSA-N</t>
  </si>
  <si>
    <t>O=C(OCC(OC(=O)CCCCCCC=CCC=CCC=CCC=CCC)COP(=O)(O)OC1C(O)C(O)C(O)C(O)C1O)CCCCCCCC=CCCCCCCCC</t>
  </si>
  <si>
    <t>883.53387:63716 884.53854:48121 885.54321:0</t>
  </si>
  <si>
    <t>82.24165:4434 82.28229:4712 82.56584:4335 94.41353:4688 94.41969:4749 94.46308:3838 94.47013:5346 94.68643:4692 94.76492:6183 109.26482:3737 109.34996:4339 109.52629:4081 109.56179:3908 109.61598:4593 109.62425:4744 109.72771:4469 109.73456:3853 109.92921:4300 128.22585:3878 128.27074:4836 128.48625:4242 128.52119:4695 128.55664:4280 128.56720:5565 128.61238:4802 128.63623:3984 128.66504:3976 128.99544:3417 129.03412:3705 129.07596:4401 129.22614:3464 147.52855:3477 152.98351:5202 153.08511:4018 153.36218:3757 153.58945:6880 165.03093:4534 185.13927:3979 185.21492:5694 185.37270:4684 203.59329:4059 228.43782:6472 228.54654:5678 228.62914:5146 229.23868:4823 229.33591:6573 241.01132:8483 281.24915:11180 289.03949:6135 289.19266:5887 289.31451:6248 289.75726:4793 290.17749:6280 290.31543:5600 290.34378:4961 303.23389:9533 377.56769:5279 377.61478:4912 377.80057:8034 379.08987:9002 390.43747:7738 417.24176:7099 439.68524:5427 455.02118:4740 484.07248:5048 514.08179:9958 514.44080:6247 514.80811:5135 515.81433:5661 516.13043:9657 615.86249:4691 733.01666:4983 739.98364:8971 740.47174:5109 740.60901:6239 742.96338:6126 743.52789:10354 744.10303:6268 883.53467:27073</t>
  </si>
  <si>
    <t>PI 18:1_20:4b</t>
  </si>
  <si>
    <t>883.53351:192239 884.53818:71802 885.54284:0</t>
  </si>
  <si>
    <t>82.24293:3794 94.41915:3764 94.71469:4568 94.80198:4299 97.29166:10559 103.95628:3823 106.60284:3441 109.49316:4475 109.52069:4735 109.52959:4664 109.55829:3856 109.97818:3791 128.48239:4248 128.52965:3797 128.96539:5542 152.97098:4241 152.98547:4778 153.03558:5436 153.55786:4128 153.61147:3895 185.00554:5519 185.05402:3674 185.07072:5525 185.13057:4500 185.15189:4605 185.44684:4715 185.59140:4224 185.89005:4139 228.34941:5705 228.52954:5346 228.55025:5038 229.34390:5933 229.38222:4669 241.01167:13998 281.24722:5246 289.30444:5421 290.16562:4731 290.30658:5366 290.33832:4834 303.23337:16104 377.61008:6222 377.80023:8258 379.08597:6574 383.95667:4735 389.75043:9087 417.23965:5529 514.10608:8244 516.15491:9968 516.49316:6882 562.95801:4613 738.33984:6697 739.95099:5678 740.06396:7077 741.23090:7095 742.90753:8112 743.48425:8647 744.63837:5662 765.62683:5776 883.53912:26054</t>
  </si>
  <si>
    <t>PE O-34:2|PE O-16:1_18:1</t>
  </si>
  <si>
    <t>PE O-16:1_18:1</t>
  </si>
  <si>
    <t>C39H76NO7P</t>
  </si>
  <si>
    <t>EtherPE</t>
  </si>
  <si>
    <t>RFPQMVKZNQOUGY-UHFFFAOYSA-N</t>
  </si>
  <si>
    <t>O=C(OC(COCCCCCCCCC=CCCCCCC)COP(=O)(O)OCCN)CCCCCCCC=CCCCCCCCC</t>
  </si>
  <si>
    <t>700.52966:272543 701.53433:117221 702.53900:17721</t>
  </si>
  <si>
    <t>82.29391:3926 82.31515:3016 82.33681:4251 82.42378:3664 82.50547:3252 82.51146:5325 82.53084:3525 94.42487:3486 94.45734:3640 94.69582:3176 94.71867:6425 94.82602:4836 94.83117:3489 97.29140:6554 109.57084:4673 109.60417:5313 109.76964:3973 109.87224:4400 110.00677:4184 122.15774:3083 128.52895:4460 128.57053:4720 128.61206:4353 128.83275:3716 128.95270:4866 129.12445:3338 140.01274:3302 146.63528:2991 152.80008:3213 152.98766:4437 153.04152:5278 153.09586:6018 153.14940:3662 153.64606:4874 185.14066:5027 185.21332:4449 185.28407:3761 185.50652:3536 185.64954:4520 185.80304:4312 185.88136:4120 185.96088:4912 191.85938:3452 228.72635:5458 229.43707:5363 229.63284:4481 229.72224:4510 253.21788:4805 255.23312:16582 256.36420:4714 281.24814:113158 289.13889:5313 289.28137:7273 289.42142:6574 289.82645:4608 290.43243:5786 290.71371:5907 377.75153:4442 377.83496:4031 377.91779:6490 377.96466:7548 378.38348:5952 379.23914:6779 379.47156:4623 379.66162:3913 418.27203:5975 436.28403:9683 513.60132:4398 513.93787:5405 514.27173:10068 514.60535:4929 516.29968:8962 516.67267:6976 700.52460:9913</t>
  </si>
  <si>
    <t>PE O-36:2|PE O-16:1_20:1</t>
  </si>
  <si>
    <t>PE O-16:1_20:1</t>
  </si>
  <si>
    <t>C41H80NO7P</t>
  </si>
  <si>
    <t>YXTRSCFEJBBRNO-UHFFFAOYSA-N</t>
  </si>
  <si>
    <t>O=C(OC(COCCCCCCCCC=CCCCCCC)COP(=O)(O)OCCN)CCCCCCCCCC=CCCCCCCCC</t>
  </si>
  <si>
    <t>728.56268:94491 729.56735:50992 730.57202:0</t>
  </si>
  <si>
    <t>82.02812:3196 82.29400:3661 94.35256:3042 94.40319:4065 94.40901:4058 94.67751:3580 97.30061:6218 101.44475:3138 109.36462:2701 109.51876:3180 109.54957:4023 110.12170:3003 112.82365:2877 128.59424:4169 128.89314:3684 128.97682:3333 129.01129:4048 129.05484:3349 129.31712:3829 138.49994:3439 148.66676:3263 152.90855:4821 153.02202:4978 153.09235:2929 184.98230:4436 228.41203:5756 229.31046:4145 289.14795:5688 309.28030:40916 360.60001:4816 377.76236:6469 379.05707:6809 390.15521:6549 436.27930:4636 514.04956:8294 516.09784:4653</t>
  </si>
  <si>
    <t>PE O-36:2|PE O-18:1_18:1</t>
  </si>
  <si>
    <t>PE O-18:1_18:1</t>
  </si>
  <si>
    <t>GHNXVMPBTBKJRP-UHFFFAOYSA-N</t>
  </si>
  <si>
    <t>O=C(OC(COCCCCCCCCC=CCCCCCCCC)COP(=O)(O)OCCN)CCCCCCCC=CCCCCCCCC</t>
  </si>
  <si>
    <t>728.56091:325729 729.56558:145641 730.57025:33269</t>
  </si>
  <si>
    <t>82.26840:3388 82.31163:4098 82.48178:3779 82.50378:3808 82.57153:4015 94.42673:3014 94.47417:4150 94.48054:4245 94.80000:4910 94.82672:3074 94.85379:4562 97.29062:3177 109.50246:3250 109.56965:4427 109.60004:4549 109.62657:3959 109.63569:3407 109.93501:4469 110.03679:3363 111.43765:3279 128.48494:3264 128.53285:4030 128.65099:3077 128.78270:4125 128.86981:3297 128.92661:3580 128.96152:3932 129.04466:5003 129.08754:4638 129.17247:3735 152.99226:5911 153.04240:5578 153.10268:5425 153.26880:4370 153.48578:5531 153.53955:3864 153.59528:4110 185.07787:5596 185.09718:3643 185.15990:6223 185.44528:4013 185.75117:4751 185.82355:5968 228.33911:4623 228.44930:6032 228.54199:4694 228.65283:6942 229.34924:7652 229.47284:4963 281.24857:132859 281.27829:6963 289.19629:4291 289.32483:5449 290.20297:4114 290.34470:4418 309.28021:37824 317.34158:3944 356.57626:4963 377.58942:6703 377.78864:3913 377.83289:8891 379.09546:9907 379.31250:4176 379.73795:3646 436.28305:7733 446.30154:6873 446.63159:4598 464.31433:13388 513.77972:6022 514.08588:8357 514.16486:6343 514.46136:5908 515.49847:5629 515.83795:6095 516.16644:7550 728.56189:12983</t>
  </si>
  <si>
    <t>PE O-36:3|PE O-18:2_18:1</t>
  </si>
  <si>
    <t>PE O-18:2_18:1</t>
  </si>
  <si>
    <t>C41H78NO7P</t>
  </si>
  <si>
    <t>KTJAFMBXBPVGGI-UHFFFAOYSA-N</t>
  </si>
  <si>
    <t>O=C(OC(COCCCCCCCCC=CCC=CCCCCC)COP(=O)(O)OCCN)CCCCCCCC=CCCCCCCCC</t>
  </si>
  <si>
    <t>726.54620:347192 727.55087:165022 728.55554:26787</t>
  </si>
  <si>
    <t>82.29543:3257 82.52538:3382 82.59281:4637 94.25910:3288 94.46953:3458 94.49562:3698 94.70675:3903 94.81993:3822 97.30039:6838 102.54500:3980 108.49242:3617 109.52364:3944 109.79861:3433 110.05815:3401 110.06593:3758 115.23692:3895 119.14980:2993 121.22578:2917 134.10840:3191 153.02321:3949 153.07532:4457 153.29361:3853 153.30667:3607 153.57150:4619 153.63016:5039 163.61298:3165 185.04457:4296 185.14168:3310 185.19063:5047 185.27870:4577 185.71100:4804 185.78838:4742 228.60304:4449 228.70279:4654 229.40059:5364 281.24860:367678 289.11136:4579 289.25174:5054 289.38919:5229 290.38721:5488 290.42416:3710 377.67816:4463 377.88333:6775 379.18948:4610 379.42191:4840 385.67224:4859 403.42731:4101 444.28787:14323 462.29910:29625 463.88651:4182 513.91162:4434 514.24432:4168 514.57349:4841 516.24127:6027 566.16711:3972 616.32764:4038 726.54730:24018</t>
  </si>
  <si>
    <t>PE O-36:5|PE O-16:1_20:4</t>
  </si>
  <si>
    <t>PE O-16:1_20:4</t>
  </si>
  <si>
    <t>C41H74NO7P</t>
  </si>
  <si>
    <t>YATSYZSZUULQDZ-UHFFFAOYSA-N</t>
  </si>
  <si>
    <t>O=C(OC(COCCCCCCCCC=CCCCCCC)COP(=O)(O)OCCN)CCCCCCC=CCC=CCC=CCC=CCC</t>
  </si>
  <si>
    <t>722.51508:148308 723.51974:82299 724.52441:0</t>
  </si>
  <si>
    <t>82.21103:3337 82.23642:3667 82.30903:3385 82.41019:3931 82.56483:3441 91.27099:3168 94.46850:3619 94.50258:4239 94.68134:5267 109.53213:3415 109.54253:3491 109.72975:3936 109.92902:3906 128.54306:3836 128.58931:3084 128.63167:4783 128.77216:3956 128.90210:3106 147.22519:3805 152.08723:3449 153.00928:6388 153.04776:3477 153.06686:4128 153.24786:3687 168.04323:4960 181.25513:3637 185.11148:3292 185.79594:3776 227.98317:3863 228.64111:5472 259.24161:4338 289.29483:4004 289.32645:6436 289.40741:4540 289.56381:4545 290.14575:5853 290.27591:4495 290.31369:4948 303.23285:49240 377.81772:7548 378.16327:4180 379.04135:5499 379.08786:4478 379.29053:4197 388.59573:7971 407.80835:4128 418.27496:5202 436.28418:10562 514.03442:4350 514.10974:5361 514.38489:6026 515.73651:4788 516.05121:5778 722.61700:11932</t>
  </si>
  <si>
    <t>PE O-38:3|PE O-18:2_20:1</t>
  </si>
  <si>
    <t>PE O-18:2_20:1</t>
  </si>
  <si>
    <t>C43H82NO7P</t>
  </si>
  <si>
    <t>VBHVWWDERMHMNQ-UHFFFAOYSA-N</t>
  </si>
  <si>
    <t>O=C(OC(COCCCCCCCCC=CCC=CCCCCC)COP(=O)(O)OCCN)CCCCCCCCCC=CCCCCCCCC</t>
  </si>
  <si>
    <t>754.57770:169478 755.58237:89914 756.58703:18923</t>
  </si>
  <si>
    <t>82.50887:3499 94.47205:3842 97.29229:6658 109.47748:3994 109.87633:3011 128.37788:3937 128.57422:3870 129.02528:3392 152.74838:3326 152.84846:3218 152.95041:3452 153.00713:3800 153.40331:4489 229.17613:4413 281.24774:5893 282.13226:4079 289.41541:4946 289.71429:5013 309.24399:7412 309.27985:147142 377.70209:4577 379.09927:4712 387.97751:6787 414.48981:4546 462.29782:7236 466.17624:4269 504.74466:4283 515.06403:4295 516.06445:6111 741.64453:7974 742.84192:5476 746.97583:4704 754.57886:8909</t>
  </si>
  <si>
    <t>PE O-38:5|PE O-18:1_20:4</t>
  </si>
  <si>
    <t>PE O-18:1_20:4</t>
  </si>
  <si>
    <t>C43H78NO7P</t>
  </si>
  <si>
    <t>VLIJZYIABFUKFN-UHFFFAOYSA-N</t>
  </si>
  <si>
    <t>O=C(OC(COCCCCCCCCC=CCCCCCCCC)COP(=O)(O)OCCN)CCCCCCC=CCC=CCC=CCC=CCC</t>
  </si>
  <si>
    <t>750.54517:221079 751.54983:106807 752.55450:28540</t>
  </si>
  <si>
    <t>82.27176:3840 82.49152:4987 82.51498:6945 94.43028:4940 94.69490:5868 94.70079:3918 94.80518:3422 109.51331:4418 109.54494:3913 109.84461:4002 113.70400:3284 128.49837:4984 128.53918:5415 128.57939:4288 128.62892:4364 128.79390:3970 129.00400:4076 129.09534:3569 147.43503:3067 153.00154:5783 153.05435:4671 153.33006:3411 153.38536:3887 153.55605:4514 185.17554:4882 185.98090:3507 223.18146:3698 228.46362:4776 228.55948:4426 228.65614:5734 229.36768:5958 289.22009:4987 289.35709:6046 290.21817:4364 290.36868:4436 290.64374:4134 303.23282:34001 377.62589:4416 377.87262:4909 378.27988:5664 379.11667:4460 379.34518:4729 464.31293:5370 513.82202:4873 514.14764:8813 514.46747:3740 514.79730:4340 516.19373:5434 519.30798:4209 650.52924:4135 740.12524:4408 740.68634:5993 741.25580:7000 743.04889:6709 743.66052:8000 750.54126:5302 750.83960:3933</t>
  </si>
  <si>
    <t>PE O-40:5|PE O-18:1_22:4</t>
  </si>
  <si>
    <t>PE O-18:1_22:4</t>
  </si>
  <si>
    <t>C45H82NO7P</t>
  </si>
  <si>
    <t>AXKTVZFNYZPELI-UHFFFAOYSA-N</t>
  </si>
  <si>
    <t>O=C(OC(COCCCCCCCCC=CCCCCCCCC)COP(=O)(O)OCCN)CCCCCCCCC=CCC=CCC=CCC=CCC</t>
  </si>
  <si>
    <t>778.57495:82385 779.57962:37085 780.58429:0</t>
  </si>
  <si>
    <t>81.79973:3073 82.23898:3950 82.25565:3662 82.26008:3163 82.30341:3907 82.49664:3403 82.56102:4646 82.58115:3777 86.07838:2941 94.41512:3562 94.46844:4850 94.80971:3637 97.29144:8737 109.47948:3631 109.49300:3628 109.76200:4306 109.91816:3065 109.98489:3513 121.38242:3497 128.56471:5521 128.93703:3552 128.98433:3619 129.06870:4034 152.90225:3828 152.92441:3783 153.03500:3967 153.23853:3959 153.57335:3328 185.07324:3715 290.26498:5206 331.26428:40126 356.68597:4106 377.73203:5044 379.02902:5125 379.07477:6039 389.43774:5679 464.31409:5397 513.97571:6242 514.30560:5121 516.03943:7282 516.11163:5503 587.30847:4672 608.66663:5547 670.33801:5122 743.37177:7690 743.49957:4984 778.06555:4756</t>
  </si>
  <si>
    <t>Pos</t>
  </si>
  <si>
    <t>TG 52:2|TG 16:0_18:1_18:1</t>
  </si>
  <si>
    <t>TG 16:0_18:1_18:1</t>
  </si>
  <si>
    <t>[M+NH4]+</t>
  </si>
  <si>
    <t>C55H102O6</t>
  </si>
  <si>
    <t>TG</t>
  </si>
  <si>
    <t>JFISYPWOVQNHLS-UHFFFAOYSA-N</t>
  </si>
  <si>
    <t>O=C(OCC(OC(=O)CCCCCCCC=CCCCCCCCC)COC(=O)CCCCCCCCCCCCCCC)CCCCCCCC=CCCCCCCCC</t>
  </si>
  <si>
    <t>QC-low_MSMS_pos2</t>
  </si>
  <si>
    <t>876.80048:7291819 877.80514:4356114 878.80981:1591744</t>
  </si>
  <si>
    <t>78.51527:3497 81.06976:12120 82.20709:4212 83.08553:7664 88.11215:6095 94.36975:3459 94.69775:3310 95.08548:13859 97.10112:7849 97.52402:4137 102.12753:16494 109.10121:11672 109.27718:4025 109.86631:3397 109.98496:4130 114.45029:3666 121.10170:4067 123.11696:4835 128.42200:4805 128.43088:5042 128.53430:4173 128.55667:3991 128.58243:4434 128.89810:3690 128.99622:3990 131.80756:3944 133.50577:3656 135.11685:5139 149.13191:4058 152.62439:3527 152.94724:3070 153.25618:3660 166.60040:3488 174.22806:4084 185.11307:5207 185.71107:3892 213.13251:4129 228.43970:5720 265.25470:4653 282.27817:9055 289.16656:7208 289.22690:5682 290.03137:5353 290.06277:5596 290.20074:5774 290.46994:4303 310.31155:15270 311.31561:7865 314.10327:5015 368.70178:4555 377.42007:5794 377.68637:4778 377.81894:5634 378.05219:5251 379.07800:5211 385.31808:5863 385.36478:6079 513.85907:5090 514.51001:6109 515.90424:6123 515.97595:5755 516.23041:6154 517.87842:4951 577.52063:32373 589.51459:8506 592.58136:15992 603.53345:18637 620.61707:10923 699.71533:5188 739.64423:10511 740.25879:7347 741.35126:5412 742.46729:6829 742.61627:7245 743.16937:8451</t>
  </si>
  <si>
    <t>TG 60:12|TG 20:4_20:4_20:4</t>
  </si>
  <si>
    <t>TG 20:4_20:4_20:4</t>
  </si>
  <si>
    <t>C63H98O6</t>
  </si>
  <si>
    <t>SSTFWICCEAKSBO-UHFFFAOYSA-N</t>
  </si>
  <si>
    <t>O=C(OCC(OC(=O)CCCCCCC=CCC=CCC=CCC=CCC)COC(=O)CCCCCCC=CCC=CCC=CCC=CCC)CCCCCCC=CCC=CCC=CCC=CCC</t>
  </si>
  <si>
    <t>968.76929:97376 969.77395:64944 970.77862:0</t>
  </si>
  <si>
    <t>82.19629:3841 82.33493:4182 82.38202:4935 82.44566:4289 82.53233:4494 88.11202:7306 94.38210:6099 94.41051:4434 94.70132:3886 94.75774:6240 97.27319:12412 102.12783:4521 109.44634:5399 109.51148:4004 109.67885:4091 109.77647:5124 109.78344:4959 109.90897:4755 128.46396:4537 128.71384:4680 128.72333:4595 128.80594:4987 128.93539:5164 129.05768:5376 145.31593:4616 152.92848:5051 152.96666:5669 153.18361:4584 153.19582:4637 153.46893:5940 153.52269:5646 153.57671:4260 177.16376:23125 179.80093:5748 184.92436:5603 184.98947:5842 185.06743:5640 185.12906:5323 185.65038:5712 185.72191:4708 189.16521:6577 228.33687:7044 228.53131:8083 229.24449:9513 259.24182:35046 289.04401:7523 289.19586:6798 289.47516:6168 290.35126:5579 291.07611:4964 353.42593:5832 377.61267:8448 377.65753:8062 377.84283:7391 378.07520:6896 378.72766:6215 378.92395:11425 379.13043:6923 379.34183:5138 513.84589:9746 646.48456:5862 647.50031:20139 742.01208:6478 742.58557:5611 743.13995:6788 781.03900:5952 843.37970:6714 907.23340:6339</t>
  </si>
  <si>
    <t>PC 36:1|PC 18:0_18:1</t>
  </si>
  <si>
    <t>PC 18:0_18:1</t>
  </si>
  <si>
    <t>[M+H]+</t>
  </si>
  <si>
    <t>C44H86NO8P</t>
  </si>
  <si>
    <t>PC</t>
  </si>
  <si>
    <t>BKACBHCGNYBKHD-UHFFFAOYSA-N</t>
  </si>
  <si>
    <t>O=C(OCC(OC(=O)CCCCCCCCCCCCCCCCCCC=CCCCCCCCCCC)COP(=O)([O-])OCC[N+](C)(C)C)CCCC</t>
  </si>
  <si>
    <t>788.61511:3034468 789.61978:1519646 790.62445:403346</t>
  </si>
  <si>
    <t>82.27341:3300 82.29524:3812 82.47122:3269 88.11239:6106 94.65256:3546 94.68250:3762 97.27355:7810 102.12784:4130 109.48284:3836 109.55150:4577 109.58764:3268 109.78458:3393 109.82167:4462 128.47415:3223 128.56271:3687 128.57233:3186 128.78348:3607 128.83113:3415 128.85730:4302 136.38791:5104 144.84732:3386 152.92957:4026 153.18408:3623 153.29858:3952 164.93039:17221 164.96057:3547 184.07338:76098 185.07784:22112 185.09218:5646 185.35783:4956 186.07805:4513 197.11494:3789 222.56111:4284 229.09317:4334 254.33650:3982 378.84534:4204 388.58466:9540 489.48090:4581 514.58069:6415 515.80310:7638 610.54266:24934 741.33337:4554 742.54095:4839 743.05237:5533 768.40533:4767</t>
  </si>
  <si>
    <t>PC 34:2|PC 16:0_18:2</t>
  </si>
  <si>
    <t>PC 16:0_18:2</t>
  </si>
  <si>
    <t>C42H80NO8P</t>
  </si>
  <si>
    <t>RXPVDHQFHIMZPN-UHFFFAOYSA-N</t>
  </si>
  <si>
    <t>O=C(OCC(OC(=O)CCCCCCCC=CCCCCCCC)COP(=O)([O-])OCC[N+](C)(C)C)CCCCCCCC=CCCCCCCC</t>
  </si>
  <si>
    <t>758.56732:30912542 759.57199:16131733 760.57666:3293494</t>
  </si>
  <si>
    <t>82.28131:2968 82.48062:3287 87.04432:5290 88.11226:8223 94.36642:3158 94.52985:3082 94.66570:3864 95.30034:3182 100.08820:3680 102.12762:7903 109.52756:6588 109.55895:4922 109.76482:4686 109.89348:3952 109.90064:3208 116.58980:3823 125.60045:3660 128.52885:3915 128.56851:5365 150.95641:3725 152.99178:5704 153.04420:5115 184.07335:28554 185.08275:4193 185.13194:4024 185.16667:7482 185.23676:5864 185.68089:4121 185.75699:4616 197.13734:4323 228.45897:5812 228.67102:5726 228.76418:4802 229.17674:4817 229.28148:5379 289.08725:5519 289.22046:5438 289.35141:3887 289.52325:6005 290.10532:7713 295.83017:3919 349.53760:4551 377.48569:7375 377.68460:6210 378.06927:3732 378.95605:4191 379.00388:6434 388.33160:5640 388.37756:6595 513.94440:7710 514.26465:6189 515.96674:5645 527.58618:4430 586.53821:5101 628.56842:4493 739.81696:8807 741.04150:5223 742.70099:4617 743.30884:5235</t>
  </si>
  <si>
    <t>PC 34:1|PC 16:0_18:1</t>
  </si>
  <si>
    <t>PC 16:0_18:1</t>
  </si>
  <si>
    <t>C42H82NO8P</t>
  </si>
  <si>
    <t>MUBRGBFQSXZCJW-UHFFFAOYSA-N</t>
  </si>
  <si>
    <t>O=C(OCC(OC(=O)CCCCCCCCCCCCCCCC=CCCCCCCCC)COP(=O)([O-])OCC[N+](C)(C)C)CCCCCCC</t>
  </si>
  <si>
    <t>760.58429:10257746 761.58896:4691736 762.59363:1224367</t>
  </si>
  <si>
    <t>82.19085:3902 82.43596:4915 82.49203:4020 82.51019:3927 86.09639:83429 88.11220:4959 90.12310:3500 94.68357:3509 102.12757:5329 109.44875:4618 109.90675:5183 128.50735:4037 128.54915:3953 128.72842:3507 128.80077:3161 128.82802:3603 128.85744:5354 139.24680:3303 146.98177:61826 152.85561:5657 152.90891:4129 152.95082:3788 153.03232:4216 153.30316:4859 153.36191:3438 153.47859:4806 158.75891:9173 169.52869:3632 184.07338:41765 185.07639:5943 185.65842:4341 186.07899:4001 228.53131:4614 289.06854:5084 289.17599:4617 289.21362:4306 289.35382:4593 290.02945:4596 290.06485:4914 290.22079:5404 319.35349:4026 377.64890:5218 378.74570:6166 378.92429:6132 379.15787:4708 384.15906:4708 384.21500:5245 435.66998:4178 514.18719:4822 515.95898:5980 537.56982:18176 555.58331:12449 571.54993:11567 577.56274:622835 701.55457:298723 726.98010:4440 739.18127:4423 739.73273:6055 742.61743:4728 743.25079:5480 760.62994:36599</t>
  </si>
  <si>
    <t>PC 35:2|PC 17:0_18:2</t>
  </si>
  <si>
    <t>PC 17:0_18:2</t>
  </si>
  <si>
    <t>C43H82NO8P</t>
  </si>
  <si>
    <t>HJLYXMFZEJDPNP-UHFFFAOYSA-N</t>
  </si>
  <si>
    <t>O=C(OCC(OC(=O)CCCCCCCCCCCCCCCCCC=CCC=CCCCCCCC)COP(=O)([O-])OCC[N+](C)(C)C)CCCC</t>
  </si>
  <si>
    <t>772.58246:1266949 773.58713:811389 774.59179:1100059</t>
  </si>
  <si>
    <t>81.31622:3234 87.04429:6830 88.11216:7443 94.39421:3498 94.40809:2969 98.39836:3737 102.12766:9277 109.45577:3612 109.49691:4057 109.57555:3388 109.69180:4515 109.94600:3900 128.50757:4578 128.52870:3865 128.59518:4031 128.74150:3778 128.99850:4312 135.54625:3698 136.04666:3085 152.92014:3394 152.97746:3128 153.54306:4223 184.07317:46615 184.08633:3729 185.17546:3994 185.67331:4734 219.79501:4260 228.45428:5093 228.52766:4638 228.78493:4371 229.27844:5273 250.21933:4161 290.23627:7814 311.72800:5066 377.63562:5553 377.68250:6671 378.12537:4687 378.73953:4478 379.17084:5173 387.88440:7017 396.79016:4290 513.88940:8549 514.24841:5873 514.58978:6392 515.56641:5262 515.94849:8905 650.85980:5194 740.25494:5817 741.43884:6813 742.67969:7686 743.87640:5005 772.64081:4758</t>
  </si>
  <si>
    <t>PC 36:2|PC 18:0_18:2</t>
  </si>
  <si>
    <t>PC 18:0_18:2</t>
  </si>
  <si>
    <t>C44H84NO8P</t>
  </si>
  <si>
    <t>SNKAWJBJQDLSFF-UHFFFAOYSA-N</t>
  </si>
  <si>
    <t>O=C(OCC(OC(=O)CCCCCCCC=CCCCCCCCC)COP(=O)([O-])OCC[N+](C)(C)C)CCCCCCCC=CCCCCCCCC</t>
  </si>
  <si>
    <t>786.59998:9326419 787.60464:4754170 788.60931:1342481</t>
  </si>
  <si>
    <t>82.21114:3479 82.27570:3148 82.28642:3967 88.11217:7472 94.41622:4612 94.44020:3215 94.46403:3169 94.65245:3665 94.76102:3981 102.05475:4937 109.44537:3476 109.52343:3666 109.55453:4169 109.68258:3815 128.42049:3430 128.52019:3307 128.59705:2739 128.96013:4444 152.87538:4517 152.92554:5204 153.01167:4832 153.03967:4148 153.42720:3690 153.52625:4507 156.19310:3838 182.18977:3471 184.07367:14587 184.93779:4229 185.11998:5862 185.15680:4248 185.67128:4436 198.97411:20488 228.25365:5032 228.46411:4438 229.23509:4494 229.25818:4357 289.24661:4585 289.37646:4102 320.59076:3884 332.34622:4841 353.02292:4774 375.11063:4568 377.59070:4373 377.65717:5790 377.70938:5406 378.92862:4088 386.97614:6843 390.26581:4751 413.63995:4748 494.84647:4539 513.87561:5309 513.95557:5178 514.18750:4596 515.88867:5049 517.04675:5646 570.54791:38036 739.65625:6653 739.78754:5491 740.18829:6005 740.88898:5079 742.66071:5773 743.08478:5646 743.24927:6213 786.51715:17503 790.06250:4913</t>
  </si>
  <si>
    <t>LPE 15:0</t>
  </si>
  <si>
    <t>C20H42NO7P</t>
  </si>
  <si>
    <t>LPE</t>
  </si>
  <si>
    <t>FGHPDPYCRTXYNZ-UHFFFAOYSA-N</t>
  </si>
  <si>
    <t>O=C(OCC(O)COP(=O)(O)OCCN)CCCCCCCCCCCCCC</t>
  </si>
  <si>
    <t>QC-low_MSMS_neg2</t>
  </si>
  <si>
    <t>438.26126:146324 439.26593:0 440.27060:0</t>
  </si>
  <si>
    <t>82.48830:2366 82.56258:2828 87.53023:2363 94.40577:2741 94.44724:3408 94.69471:2311 94.73906:2393 95.97364:2777 97.29186:4630 109.53231:2796 109.55556:2814 109.64193:2480 128.48901:3374 128.52879:3421 128.57622:2748 128.61542:4153 128.99112:3448 150.81393:2778 152.99405:3367 153.50645:2507 153.53162:3529 161.64427:2560 162.26360:2571 182.22934:3259 185.23854:2726 196.03790:3874 214.04744:3302 229.41542:3090 241.21713:48649 289.26813:3465 289.99420:4131 290.13651:4147 290.27985:3306 337.31348:3025 377.81747:4396 379.01822:3343 384.67221:3327 385.64783:4835 394.33847:5187 438.29407:30485</t>
  </si>
  <si>
    <t>LPE 17:1</t>
  </si>
  <si>
    <t>C22H44NO7P</t>
  </si>
  <si>
    <t>LNJNONCNASQZOB-UHFFFAOYSA-N</t>
  </si>
  <si>
    <t>O=C(OCC(O)COP(=O)(O)OCCN)CCCCCCCC=CCCCCCCC</t>
  </si>
  <si>
    <t>464.27560:139581 465.28027:0 466.28494:0</t>
  </si>
  <si>
    <t>82.15102:3118 94.43977:2929 94.58234:3028 94.71001:3098 94.73254:3142 94.89610:2634 96.54282:2552 109.58789:3967 109.62197:3131 109.99678:3679 128.60301:2825 128.80504:3382 129.06302:3113 149.18411:2498 152.83208:3069 153.02017:2933 159.59341:2632 175.03290:2854 185.11314:2757 185.14458:2851 185.19121:2835 185.21947:3764 185.61559:3002 185.77827:5371 185.92784:3265 196.03848:4209 229.49913:3231 256.00650:3223 265.94809:2893 267.23285:49322 289.10767:3813 289.21893:3409 289.36646:4196 289.40402:4019 289.45834:3184 290.17972:3648 290.40533:4036 343.99191:5721 377.68121:3614 377.84457:3680 377.90134:4554 379.13965:5218 379.19577:3792 384.95200:5288 464.30518:21066 466.62817:4129</t>
  </si>
  <si>
    <t>LPE 18:0</t>
  </si>
  <si>
    <t>C23H48NO7P</t>
  </si>
  <si>
    <t>BBYWOYAFBUOUFP-UHFFFAOYSA-N</t>
  </si>
  <si>
    <t>O=C(OCC(O)COP(=O)(O)OCCN)CCCCCCCCCCCCCCCCC</t>
  </si>
  <si>
    <t>480.30920:10135425 481.31387:2779058 482.31854:543834</t>
  </si>
  <si>
    <t>78.95569:20368 82.27711:5813 82.58274:4879 85.64811:4636 86.09629:4097 87.62354:6231 90.61782:7373 90.62259:5967 94.49036:5375 94.77802:3677 94.81088:4902 97.32855:4360 109.50554:5677 109.51540:5059 109.57890:3823 109.73792:5646 109.74853:5078 109.91609:5268 109.94748:5241 111.99396:4254 121.75494:5830 128.54277:6107 128.55133:4772 128.58794:5295 128.63129:6561 128.78996:5730 128.80209:4521 128.88324:6352 128.92056:4213 129.18449:4290 135.49931:3692 140.01169:38520 141.61949:3955 143.18724:4697 152.94749:9070 152.99583:8245 153.06386:7145 153.10196:4177 153.12244:4372 153.50092:4836 153.61536:5798 176.52179:4225 185.16605:3742 185.18115:7683 185.25816:5561 185.46469:4747 185.61494:5629 185.76282:4340 186.61018:6460 196.03799:306680 214.04901:49829 221.32455:4548 228.58183:6898 229.37762:6267 255.23322:26235 283.26425:2953345 289.08615:5134 289.20731:5021 289.23761:6853 289.35727:7138 290.23886:5842 290.37344:6025 318.51959:5669 377.85818:8925 379.17099:8006 379.37448:6631 389.52716:5815 389.57275:9461 480.30911:503355</t>
  </si>
  <si>
    <t>LPE 18:1</t>
  </si>
  <si>
    <t>C23H46NO7P</t>
  </si>
  <si>
    <t>PYVRVRFVLRNJLY-UHFFFAOYSA-N</t>
  </si>
  <si>
    <t>O=C(OCC(O)COP(=O)(O)OCCN)CCCCCCCC=CCCCCCCCC</t>
  </si>
  <si>
    <t>478.29327:4189091 479.29794:951144 480.30261:1829742</t>
  </si>
  <si>
    <t>78.95570:12837 82.26888:3604 82.29268:3111 82.31628:3891 82.37908:3984 82.42146:4091 82.48514:4243 82.62011:3068 82.86062:3129 90.08785:3577 94.42818:3247 94.48117:3102 94.60999:3852 94.69549:3398 94.77676:3289 109.50610:4402 109.59677:2927 109.74072:3523 109.83957:3940 109.97386:4635 114.20273:2982 128.53757:4001 128.58400:3820 128.62132:4280 128.79034:3270 129.04517:4281 140.01176:20801 152.61774:2580 152.99776:4243 153.04779:3849 153.10712:3127 153.26743:5059 153.49020:3093 153.59679:2739 153.60895:3933 169.71313:3233 180.52750:3794 184.84503:3135 185.01160:3760 185.09140:4334 185.23424:3420 185.90196:3354 185.97661:3069 196.03784:129922 214.04836:29961 228.44962:5523 228.55977:5519 228.64738:3836 229.27078:4268 229.36742:4524 229.46545:3804 281.24854:1266713 289.07092:4252 289.19897:4776 289.35193:5971 290.20706:5886 377.41693:4254 377.83524:7056 378.25900:3825 379.11243:6292 379.32358:4291 379.36530:4159 392.25696:5408 392.30829:3512 478.29318:160849</t>
  </si>
  <si>
    <t>LPE 18:2</t>
  </si>
  <si>
    <t>C23H44NO7P</t>
  </si>
  <si>
    <t>DBHKHNGBVGWQJE-UHFFFAOYSA-N</t>
  </si>
  <si>
    <t>O=C(OCC(O)COP(=O)(O)OCCN)CCCCCCCC=CCC=CCCCCC</t>
  </si>
  <si>
    <t>476.27771:14194973 477.28238:3747650 478.28705:625622</t>
  </si>
  <si>
    <t>78.95570:40446 82.31099:8581 82.36723:9091 82.39022:7809 82.50576:8686 82.52538:6668 94.61796:6539 94.75698:8005 94.91419:9288 95.27621:7926 109.55578:7380 114.56075:8126 120.59543:9723 125.42444:7100 128.90660:9489 128.94505:6719 140.01207:62221 142.02094:7415 152.95126:10966 152.99608:14781 185.64690:11861 185.67801:7214 196.03787:406341 202.01254:7740 214.04858:101199 279.23285:4813038 289.29660:9297 289.73331:11729 290.05685:8526 290.15607:10066 290.21701:10112 290.38297:8984 377.75259:10304 378.33127:7726 379.37680:8143 389.07233:15730 423.93564:8253 476.27817:466829</t>
  </si>
  <si>
    <t>LPE 18:3</t>
  </si>
  <si>
    <t>C23H42NO7P</t>
  </si>
  <si>
    <t>NTBBASCGALPTDC-UHFFFAOYSA-N</t>
  </si>
  <si>
    <t>O=C(OCC(O)COP(=O)(O)OCCN)CCCCCCCC=CCC=CCC=CCC</t>
  </si>
  <si>
    <t>474.26096:1657547 475.26562:0 476.27029:0</t>
  </si>
  <si>
    <t>82.27688:2964 82.48333:3334 82.50936:3147 82.57639:3745 82.62119:3335 89.02801:2717 94.42202:2886 94.42831:3827 94.60931:2430 94.69615:3177 94.72080:2841 94.81865:3397 94.85761:2607 97.30020:8295 99.23446:2606 100.21851:2666 109.50852:3095 109.54269:3229 109.56991:2418 109.84300:3248 109.97476:2723 110.00735:2768 128.01024:8212 128.78508:3315 128.82422:2340 129.09177:3582 152.92911:2553 152.94681:3019 153.06009:3661 153.09967:2566 153.27724:3192 153.66217:3872 154.62750:2630 160.45563:2890 173.00816:3422 185.16023:3922 185.73924:3120 185.97783:3558 196.03809:16371 214.04915:3811 220.14661:10426 221.15524:13345 224.06834:5770 240.09891:29402 249.14977:7703 253.10631:7248 254.11736:4044 276.16028:82115 277.21729:191466 285.09677:40524 289.19531:6105 289.33997:4452 290.20547:4380 294.17972:5624 294.21152:4546 362.12839:6617 362.17227:98848 377.83203:5102 379.12268:5534 379.16528:3697 379.35999:4087 387.23700:3394 388.19894:6677 417.77115:3642 474.27148:234823 474.36493:29040</t>
  </si>
  <si>
    <t>LPE 20:1</t>
  </si>
  <si>
    <t>C25H50NO7P</t>
  </si>
  <si>
    <t>JEAGLCKGAKACCE-UHFFFAOYSA-N</t>
  </si>
  <si>
    <t>O=C(OCC(O)COP(=O)(O)OCCN)CCCCCCCCCC=CCCCCCCCC</t>
  </si>
  <si>
    <t>506.32394:411460 507.32861:140300 508.33328:7077166</t>
  </si>
  <si>
    <t>78.95522:2974 82.28945:3426 82.30611:3144 82.56699:3281 94.52345:3898 94.73315:2965 94.75454:2882 94.76678:3179 94.79026:3495 103.97768:2747 110.48412:2648 128.59447:2957 129.79756:2879 143.83984:2869 153.01549:2918 153.09497:3500 153.56877:4049 185.43610:2907 196.03796:27418 214.04845:5109 228.61031:4122 281.24789:14108 289.28021:4079 289.31009:4315 290.16241:4714 290.28592:3236 290.53543:3478 290.57880:3551 309.27994:284598 377.78131:5325 379.09570:4558 379.13870:4946 379.28546:3570 389.64307:5456 438.09982:3396 506.32700:48475</t>
  </si>
  <si>
    <t>LPE 20:3</t>
  </si>
  <si>
    <t>C25H46NO7P</t>
  </si>
  <si>
    <t>UEONHLLDVDPRRN-UHFFFAOYSA-N</t>
  </si>
  <si>
    <t>O=C(OCC(O)COP(=O)(O)OCCN)CCCCCCCCCC=CCC=CCC=CCC</t>
  </si>
  <si>
    <t>502.29294:802854 503.29761:236753 504.30227:201820</t>
  </si>
  <si>
    <t>82.57346:3048 82.57806:3376 94.50594:2645 94.61108:2740 94.72594:3216 94.74786:3102 94.79693:2517 94.80318:2830 97.30075:5828 97.72861:2946 106.87811:2597 107.65671:2739 109.50777:3240 109.59607:3141 109.90310:4046 109.93777:2597 109.94524:2609 110.01128:3027 115.92098:3913 118.52554:3275 128.50316:3863 128.58517:2958 128.80064:4087 140.01216:5638 153.05348:3505 153.59224:3486 154.17290:2695 185.09081:3704 185.16084:3152 185.17816:2994 185.75705:4835 185.81924:3627 196.03810:32229 214.04834:10738 219.25252:2709 229.17787:3711 229.36253:3227 229.47189:4098 280.23523:5010 288.29279:8535 289.21255:5367 289.34976:4080 289.40381:4744 290.21906:4638 290.37204:4432 290.64700:3968 305.24857:319102 338.85571:3553 377.82962:3314 377.91458:3761 378.03247:3450 379.13000:4689 392.11301:5934 392.16238:4815 450.29321:5391 452.30667:4360 502.29276:39663</t>
  </si>
  <si>
    <t>LPE 20:4</t>
  </si>
  <si>
    <t>C25H44NO7P</t>
  </si>
  <si>
    <t>JPNPIRVRGLGTRE-UHFFFAOYSA-N</t>
  </si>
  <si>
    <t>O=C(OCC(O)COP(=O)(O)OCCN)CCCCCCC=CCC=CCC=CCC=CCC</t>
  </si>
  <si>
    <t>500.27768:4743214 501.28235:1373576 502.28701:250742</t>
  </si>
  <si>
    <t>78.95551:23421 82.13229:3792 83.04595:4260 94.41879:4117 94.48396:4284 94.68703:4063 98.30879:6816 109.47855:3176 109.49875:4431 109.53850:3731 109.93562:3432 109.97264:3656 117.29807:2865 125.53082:3546 128.38864:3066 128.48770:3848 128.56819:4131 128.77945:4197 128.86967:4104 128.95659:3359 129.04323:3452 140.01166:42769 152.98511:3767 152.99557:8057 153.37674:3788 177.09198:4666 185.15092:3780 185.51315:3615 185.73286:3920 196.03789:251732 205.19598:31630 214.04842:68532 228.45068:4288 229.34357:5117 259.24304:143647 285.22232:8906 290.18591:5733 290.33380:6631 303.23291:1615192 320.65286:4694 377.82944:5800 378.23590:4522 378.88705:5204 379.10483:6588 392.06668:4781 392.11676:5526 392.17938:3561 440.30246:7356 500.27826:180581</t>
  </si>
  <si>
    <t>LPE 20:5</t>
  </si>
  <si>
    <t>C25H42NO7P</t>
  </si>
  <si>
    <t>KCWGBXXAJHVZNN-UHFFFAOYSA-N</t>
  </si>
  <si>
    <t>O=C(OCC(O)COP(=O)(O)OCCN)CCCC=CCC=CCC=CCC=CCC=CCC</t>
  </si>
  <si>
    <t>498.26080:49928 499.26547:0 500.27014:299455</t>
  </si>
  <si>
    <t>82.25780:2462 82.27737:3296 82.56727:2423 82.57994:2957 94.43603:3253 94.48199:3715 94.50592:2585 94.56878:2693 94.70416:3300 94.75565:3020 94.80869:3522 109.51894:2739 109.54914:3096 109.56896:3341 109.63638:2601 109.68537:2798 109.88807:2984 109.95068:2725 128.51303:2778 128.58887:3583 128.80084:2729 131.83051:3237 134.21764:2397 153.06168:3446 153.28751:3723 185.18163:3656 185.62831:3211 196.03735:4696 213.14934:5895 214.04759:3164 228.67377:3863 229.30951:3820 229.39139:5550 288.51633:3673 289.21869:3929 289.37378:4329 289.80576:3654 290.08627:4023 290.22256:4334 301.21744:11843 377.89014:4806 377.93536:4822 378.27701:3453 378.31964:4009 379.15790:4181 379.80182:3558</t>
  </si>
  <si>
    <t>LPE 22:4</t>
  </si>
  <si>
    <t>C27H48NO7P</t>
  </si>
  <si>
    <t>RSVFMXVZJZRSQQ-UHFFFAOYSA-N</t>
  </si>
  <si>
    <t>O=C(OCC(O)COP(=O)(O)OCCN)CCCCCCCCC=CCC=CCC=CCC=CCC</t>
  </si>
  <si>
    <t>528.30890:1522542 529.31357:470486 530.31823:0</t>
  </si>
  <si>
    <t>78.95549:6850 89.84859:2599 94.43486:2940 94.46584:3929 94.80470:2859 97.29977:5063 109.49291:3962 109.89144:3003 128.51392:3247 129.07845:3608 140.01172:10660 152.92334:3329 152.96284:3475 152.97475:3458 153.53049:3556 181.03336:3517 182.85263:2912 185.14435:3098 196.03801:67198 214.04860:18648 222.46509:2929 228.54793:3420 229.34648:3858 287.27383:14894 289.29034:3196 289.75708:3240 303.23419:5095 305.56619:3287 331.26431:564526 379.07834:4322 379.12405:3733 379.29666:3716 389.82367:5785 514.05585:3801 514.12408:3924 515.16711:3223 516.09326:5550 528.30969:64930</t>
  </si>
  <si>
    <t>LPC 18:3/0:0</t>
  </si>
  <si>
    <t>LPC 18:3</t>
  </si>
  <si>
    <t>C26H48NO7P</t>
  </si>
  <si>
    <t>LPC</t>
  </si>
  <si>
    <t>WKQNRCYKYCKESD-UHFFFAOYSA-N</t>
  </si>
  <si>
    <t>O=C(OCC(O)COP(=O)([O-])OCC[N+](C)(C)C)CCCCCCCC=CCC=CCC=CCC</t>
  </si>
  <si>
    <t>518.32373:38605684 519.32840:11456150 520.33307:2497806</t>
  </si>
  <si>
    <t>79.05418:24912 81.06968:45669 86.09637:880957 94.03840:30919 94.40353:27228 94.45078:26566 94.45679:21732 94.46401:27013 95.08522:43187 97.28127:35744 102.42191:24275 104.10695:6906346 109.46571:21581 109.50814:22575 109.59781:28479 109.90122:31481 124.99976:232706 127.95464:21213 128.45038:23606 128.57608:24683 129.00691:29865 153.00525:26195 178.06400:26425 181.02634:66014 184.07332:12142171 185.68440:41223 199.03685:30096 215.71402:20975 258.10950:190806 276.50641:24561 289.09793:27377 289.14072:25094 289.97028:46223 290.11688:30896 317.81580:25954 335.25674:172547 377.50549:25376 377.71634:35111 378.35309:26602 378.98553:31353 379.21509:23554 385.94992:35038 385.99561:25567 409.67023:64588 423.33347:55573 441.24142:66239 500.31335:908902 514.00183:23956 514.66125:34411 515.01007:28196 515.65802:31462 516.01434:52759 516.38696:25042 518.32397:1191929</t>
  </si>
  <si>
    <t>LPC 20:0/0:0</t>
  </si>
  <si>
    <t>LPC 20:0</t>
  </si>
  <si>
    <t>C28H58NO7P</t>
  </si>
  <si>
    <t>UATOAILWGVYRQS-UHFFFAOYSA-N</t>
  </si>
  <si>
    <t>O=C(OCC(O)COP(=O)([O-])OCC[N+](C)(C)C)CCCCCCCCCCCCCCCCCCC</t>
  </si>
  <si>
    <t>552.40210:1334148 553.40677:363252 554.41144:92485</t>
  </si>
  <si>
    <t>82.20718:3237 88.11211:16441 88.11670:2592 93.30842:2925 94.38388:2894 94.39133:2900 94.44401:3475 94.68740:2777 94.75859:3012 102.12763:5779 104.10694:21540 109.50867:3831 109.54422:2842 109.77586:2892 109.90597:3004 109.91338:3813 110.26518:2938 114.85651:2615 115.52276:2567 128.50328:3542 128.51195:3263 128.85117:3268 129.01753:3938 152.85739:4424 152.90314:4346 152.91534:4324 153.01968:3022 171.61684:3234 184.07353:30387 184.99283:4374 185.05489:3176 185.07069:4761 185.36951:3356 185.50803:3108 185.65817:3418 215.08917:42832 228.52167:3785 228.54314:3967 228.73512:3679 229.24471:4404 289.05154:3682 289.19824:5291 290.05945:4143 290.19525:4849 294.50302:3237 329.63571:3716 377.60236:3972 377.64679:5905 377.81909:3271 378.92896:5259 386.35043:7761 386.40430:4099 496.27646:3935 513.50092:4032 513.85626:4260 514.57324:4456 515.90198:4370 515.97107:4086 552.39258:31967</t>
  </si>
  <si>
    <t>LPC O-14:0</t>
  </si>
  <si>
    <t>C22H48NO6P</t>
  </si>
  <si>
    <t>EtherLPC</t>
  </si>
  <si>
    <t>NJGCXCOQLSTJQC-UHFFFAOYSA-N</t>
  </si>
  <si>
    <t>O=P([O-])(OCC[N+](C)(C)C)OCC(OCCCCCCCCCCCCCC)CO</t>
  </si>
  <si>
    <t>454.32855:4106902 455.33322:0 456.33789:0</t>
  </si>
  <si>
    <t>81.01842:3272 82.55755:3157 85.10112:5646 86.09642:9783 88.11195:8866 89.05966:22197 94.58096:3156 95.08562:4264 102.12776:6739 104.10696:264942 107.94999:2758 109.10130:3212 109.82421:2793 123.08005:2807 125.00002:8346 128.43527:2668 128.47784:3031 128.53038:2656 128.55684:2820 128.73305:3246 133.08603:13567 146.98190:5176 152.92157:4185 153.41560:3087 153.46317:2503 153.52812:3085 177.11176:6759 181.12160:4184 184.07312:36790 185.08017:3573 185.57904:2612 185.66571:3496 289.21164:5332 290.07507:5944 313.27374:16509 354.21494:3327 377.45966:4876 377.67639:4531 378.73071:3260 379.15710:4416 387.93787:3936 436.31830:4495 454.32703:91585 454.42123:18239</t>
  </si>
  <si>
    <t>LPC O-15:0</t>
  </si>
  <si>
    <t>LPC O-15:0a</t>
  </si>
  <si>
    <t>C23H50NO6P</t>
  </si>
  <si>
    <t>VTFABDYKCIOCAV-UHFFFAOYSA-N</t>
  </si>
  <si>
    <t>O=P([O-])(OCC[N+](C)(C)C)OCC(OCCCCCCCCCCCCCCC)CO</t>
  </si>
  <si>
    <t>468.34290:4119599 469.34756:639657 470.35223:0</t>
  </si>
  <si>
    <t>82.30127:5502 83.08542:19535 85.10114:204810 86.09644:29208 87.04403:25040 88.11217:7013 89.05966:1187677 91.07558:9143 94.40987:7960 94.67692:5695 97.10112:38940 97.28172:13194 99.11673:44934 104.10693:416753 107.07024:19575 109.54876:8203 109.58332:8987 109.70443:5060 111.11674:34127 111.64773:5190 113.13261:30797 117.09097:35101 124.99986:12727 125.13295:6087 127.14848:11996 128.45537:4536 128.55432:6310 128.59814:6252 128.75392:4793 128.92743:5141 128.97433:6209 129.06068:5575 129.32793:4345 129.48833:5031 130.08643:16234 131.07089:8668 133.08589:708340 135.10217:7131 149.11688:7979 151.09654:19753 152.79584:5189 152.90092:6377 152.96021:6363 153.01595:5321 153.07312:8347 153.45470:5857 153.51649:5833 161.34320:7160 169.19511:41921 177.11205:199648 184.07326:76033 185.56453:5608 185.68475:5404 185.71098:5082 195.12273:32678 213.22157:24996 221.13834:14713 229.28773:5018 229.41107:8001 239.14857:33780 257.24716:56361 283.17459:98652 289.13629:7749 289.28381:8269 289.57547:6800 290.43771:6201 301.27429:19562 363.31012:14715 372.63977:5903 377.70486:6379 377.77109:10041 378.21033:5890 378.82584:7288 379.05804:9584 387.98288:10414 388.03241:4990 407.33548:10490 415.31854:6570 440.66205:6776 451.36313:58680 468.34274:122179</t>
  </si>
  <si>
    <t>LPC O-15:0b</t>
  </si>
  <si>
    <t>468.34546:132621 469.35013:54644 470.35479:16012</t>
  </si>
  <si>
    <t>LPC O-16:0</t>
  </si>
  <si>
    <t>C24H52NO6P</t>
  </si>
  <si>
    <t>RKKJZVVEVRCBJA-UHFFFAOYSA-N</t>
  </si>
  <si>
    <t>O=P([O-])(OCC[N+](C)(C)C)OCC(OCCCCCCCCCCCCCCCC)CO</t>
  </si>
  <si>
    <t>482.36008:37567632 483.36474:10113887 484.36941:1773079</t>
  </si>
  <si>
    <t>82.26702:3458 85.10117:14700 86.09637:15116 87.04411:9825 89.05966:550189 94.38007:3399 94.60398:3684 99.11676:2860 102.12738:7343 103.03892:180914 104.10693:129666 105.11034:3268 107.07011:7492 109.52744:3014 109.59364:3658 109.69595:3204 109.70402:2750 109.81433:3042 109.89068:3419 109.89848:2815 125.00002:6617 125.14424:3256 128.56502:3377 128.57393:3311 128.62363:3148 129.02873:3390 130.08601:10451 131.07043:5823 133.08589:500810 141.08287:3279 147.06531:7100 149.11765:3345 151.09657:11914 152.89484:3325 152.93556:4537 153.04413:3489 153.22728:3486 153.48717:4305 153.53255:3381 154.36385:4617 159.28561:3655 161.42564:4578 170.05742:9582 177.11200:155765 181.02544:5362 184.07330:127128 185.01169:3255 185.02843:4363 185.08174:3476 185.54434:3460 185.68312:3350 185.90987:3924 195.12276:28197 209.10115:3501 221.13773:7975 228.56967:4965 228.76750:4956 229.28992:4402 239.14850:35141 283.17468:222754 289.21710:4455 289.25311:4751 290.08420:4108 290.11761:3874 297.15369:11929 299.25623:5156 310.30887:21268 313.27335:54386 339.28769:5686 340.29044:8686 341.29550:28967 377.70099:4714 377.74698:4856 378.12192:3722 378.99377:5315 385.34668:6044 461.73752:4917 464.31125:14051 482.36096:46152 482.45602:34219</t>
  </si>
  <si>
    <t>LPC O-18:1</t>
  </si>
  <si>
    <t>C26H54NO6P</t>
  </si>
  <si>
    <t>LGYDTKYITBAFRQ-UHFFFAOYSA-N</t>
  </si>
  <si>
    <t>O=P([O-])(OCC[N+](C)(C)C)OCC(OCCCCCCCCC=CCCCCCCCC)CO</t>
  </si>
  <si>
    <t>508.37607:8655943 509.38074:2481930 510.38540:0</t>
  </si>
  <si>
    <t>79.58795:2970 82.32345:3587 82.47453:3618 82.47893:3357 86.09636:43702 87.09978:10846 88.10305:4161 88.11210:3406 94.39098:3446 94.44226:2947 95.08551:3467 97.28231:5019 104.10691:172186 108.36689:2671 109.45560:3329 109.51957:3432 109.56419:3342 109.85672:2634 111.11695:4078 124.99987:9531 128.43744:4275 128.47813:2888 128.51900:4406 128.73314:3502 152.87392:4046 152.91397:2831 152.92734:3435 152.96774:3066 152.97957:3974 153.20581:3414 153.31108:3409 153.48097:4182 163.01498:6843 164.01898:3241 184.07344:29332 228.36118:4692 288.91379:3699 289.08420:3505 289.22070:4181 289.94333:3027 367.32190:19028 377.68533:5544 377.89035:3653 378.09360:3866 378.75745:4370 378.97327:4111 379.38840:3319 389.44781:4689 409.59021:3175 448.28839:6162 449.29233:24908 508.36774:218742</t>
  </si>
  <si>
    <t>LPC O-20:0</t>
  </si>
  <si>
    <t>LPC O-20:0a</t>
  </si>
  <si>
    <t>C28H60NO6P</t>
  </si>
  <si>
    <t>YYGTUBFHUJNRRV-UHFFFAOYSA-N</t>
  </si>
  <si>
    <t>O=P([O-])(OCC[N+](C)(C)C)OCC(OCCCCCCCCCCCCCCCCCCCC)CO</t>
  </si>
  <si>
    <t>538.41986:145530 539.42453:0 540.42920:0</t>
  </si>
  <si>
    <t>82.26181:3833 82.28328:2829 82.46844:3314 82.57269:3310 83.08553:3527 94.28869:3292 94.47398:2768 94.55620:2696 95.08555:3262 104.10694:85802 109.10152:3879 109.55688:2573 109.72676:3968 109.93801:2996 110.03429:5079 111.04429:3049 123.11694:5301 126.82536:2636 127.72724:2545 128.54155:2764 128.96161:3160 129.00777:2832 129.04520:2784 129.17024:2802 132.92772:3062 153.03340:2823 153.49576:3903 153.55522:2930 158.82097:3108 177.16441:2952 179.03096:2724 184.07350:20835 185.06677:3873 185.14426:3151 185.18329:2792 185.21550:4213 185.55655:3591 185.57549:3507 185.73076:4324 185.75919:3745 192.61058:2977 228.43155:3939 228.58794:3390 289.00189:3751 289.14417:3989 290.13110:4718 290.19241:4346 334.16431:3882 378.06223:3480 379.01749:3757 379.38995:3802 385.47852:6382 407.75696:3515 457.40390:4013 467.38828:11278 497.27863:11667 514.02777:5653 514.10327:4297 514.37085:4361 514.71936:3663 516.10822:3995 538.43011:18511 538.58679:8011 540.99768:3878</t>
  </si>
  <si>
    <t>LPC O-20:0b</t>
  </si>
  <si>
    <t>538.42224:94865 539.42691:37402 540.43158:0</t>
  </si>
  <si>
    <t>82.25181:3355 82.27465:3901 82.28543:3113 82.30851:2634 82.46127:2621 86.09637:4613 88.11215:7827 94.42600:3124 94.48350:3096 94.49357:2680 94.67191:3697 94.72237:3439 102.12771:7689 104.10693:46629 109.51460:3912 109.53128:2958 109.53874:3741 109.55015:2967 109.57569:2717 109.63849:2913 109.80148:3209 128.50017:2946 128.53600:2783 128.58362:2926 128.59256:2672 128.66138:2895 128.91946:3154 128.92912:3533 139.95569:2741 144.33421:3097 153.01472:3547 153.03329:3450 153.07182:3710 153.11922:2953 153.34863:3750 153.40036:4101 153.45221:3233 153.50586:3857 166.11073:3685 177.12273:3283 179.03102:2712 184.07339:8269 185.13327:4066 185.56023:3963 185.71674:3357 228.51570:4703 229.03105:4094 229.12656:5096 229.22003:3940 289.14139:3422 289.17542:4089 289.22272:4115 289.32886:3770 289.41589:3470 290.04410:4765 377.58813:3359 377.82025:4699 378.04712:3777 378.68011:4689 378.88507:3990 388.74277:3563 388.80966:4680 393.98013:3235 395.18231:3320 443.78711:3452 513.81012:5073 515.54401:5306 515.86786:5895 538.41797:13859</t>
  </si>
  <si>
    <t xml:space="preserve"> ST 27:1;O</t>
  </si>
  <si>
    <t>[M+H-H2O]+</t>
  </si>
  <si>
    <t>C27H46O</t>
  </si>
  <si>
    <t>ST</t>
  </si>
  <si>
    <t>HVYWMOMLDIMFJA-UHFFFAOYSA-N</t>
  </si>
  <si>
    <t>OC1CC2=CCC3C(CCC4(C)C(CCC34)C(C)CCCC(C)C)C2(C)CC1</t>
  </si>
  <si>
    <t>XY-pos_13</t>
  </si>
  <si>
    <t>369.35153:2893550 370.35620:0 371.36087:0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</si>
  <si>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</si>
  <si>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</si>
  <si>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</si>
  <si>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</si>
  <si>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</si>
  <si>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</si>
  <si>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</si>
  <si>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</si>
  <si>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</si>
  <si>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</si>
  <si>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Annotation tag (VS1.0)</t>
  </si>
  <si>
    <t>RT matched</t>
  </si>
  <si>
    <t>m/z matched</t>
  </si>
  <si>
    <t>MS/MS matched</t>
  </si>
  <si>
    <t>Manually modified for quantification</t>
  </si>
  <si>
    <t>Manually modified for annotation</t>
  </si>
  <si>
    <t>Isotope tracking parent ID</t>
  </si>
  <si>
    <t>Isotope tracking weight number</t>
  </si>
  <si>
    <t>RT similarity</t>
  </si>
  <si>
    <t>m/z similarity</t>
  </si>
  <si>
    <t>Simple dot product</t>
  </si>
  <si>
    <t>Weighted dot product</t>
  </si>
  <si>
    <t>Reverse dot product</t>
  </si>
  <si>
    <t>Matched peaks count</t>
  </si>
  <si>
    <t>Matched peaks percentage</t>
  </si>
  <si>
    <t>Total score</t>
  </si>
  <si>
    <t>S/N average</t>
  </si>
  <si>
    <t>Spectrum reference file name</t>
  </si>
  <si>
    <t>MS1 isotopic spectrum</t>
  </si>
  <si>
    <t>MS/MS spectrum</t>
  </si>
  <si>
    <t>XY-pos_1</t>
  </si>
  <si>
    <t>XY-pos_10</t>
  </si>
  <si>
    <t>XY-pos_11</t>
  </si>
  <si>
    <t>XY-pos_12</t>
  </si>
  <si>
    <t>XY-pos_14</t>
  </si>
  <si>
    <t>XY-pos_15</t>
  </si>
  <si>
    <t>XY-pos_16</t>
  </si>
  <si>
    <t>XY-pos_17</t>
  </si>
  <si>
    <t>XY-pos_19</t>
  </si>
  <si>
    <t>XY-pos_2</t>
  </si>
  <si>
    <t>XY-pos_3</t>
  </si>
  <si>
    <t>XY-pos_4</t>
  </si>
  <si>
    <t>XY-pos_5</t>
  </si>
  <si>
    <t>XY-pos_6</t>
  </si>
  <si>
    <t>XY-pos_7</t>
  </si>
  <si>
    <t>XY-pos_8</t>
  </si>
  <si>
    <t>XY-pos_9</t>
  </si>
  <si>
    <t>Cer 32:1;O2|Cer 17:1;O2/15:0</t>
  </si>
  <si>
    <t>Cer 17:1;O2/15:0</t>
  </si>
  <si>
    <t>C32H63NO3</t>
  </si>
  <si>
    <t>Cer_NS</t>
  </si>
  <si>
    <t>UAZWOHRRCXEPKY-UHFFFAOYSA-N</t>
  </si>
  <si>
    <t>O=C(NC(CO)C(O)C=CCCCCCCCCCCCC)CCCCCCCCCCCCCC</t>
  </si>
  <si>
    <t>492.47763:93805 493.48230:0 494.48697:0</t>
  </si>
  <si>
    <t>82.23302:3448 82.54227:2264 84.27721:2503 85.12999:2430 88.11213:10404 94.39224:3208 94.41983:2918 94.44663:2713 94.47363:4078 94.55002:2806 94.65536:3319 94.71371:3169 97.27288:5062 100.82800:2817 102.12756:7548 109.48816:3266 109.55678:2873 109.68562:4023 109.85670:2697 109.89278:3548 109.92204:2806 119.94895:2602 128.47578:3380 128.51932:5037 128.90460:3178 128.94186:3212 128.98859:4446 129.02844:2948 131.20212:2580 135.88095:2362 136.06047:2490 136.91049:2735 152.86577:3148 152.92311:3865 153.42310:2721 153.47263:3163 153.53354:2746 153.58484:3463 184.78616:3261 185.07510:4174 185.37541:4053 185.52138:3727 185.66606:5038 228.44194:4921 228.46181:4592 228.56473:3172 229.16292:3863 229.25197:4324 236.23782:13339 238.25383:4978 250.25281:28367 268.26282:5913 289.22513:5856 289.51324:3270 290.07422:5207 363.17014:5375 373.58368:3194 377.45670:3838 377.67120:5866 378.10352:4153 378.93991:6729 379.17679:5167 387.56570:5839 474.46933:4205</t>
  </si>
  <si>
    <t>Cer 36:1;O2|Cer 18:1;O2/18:0</t>
  </si>
  <si>
    <t>Cer 18:1;O2/18:0</t>
  </si>
  <si>
    <t>C36H71NO3</t>
  </si>
  <si>
    <t>VODZWWMEJITOND-UHFFFAOYSA-N</t>
  </si>
  <si>
    <t>O=C(NC(CO)C(O)C=CCCCCCCCCCCCCC)CCCCCCCCCCCCCCCCC</t>
  </si>
  <si>
    <t>548.53748:67510 549.54214:38621 550.54681:0</t>
  </si>
  <si>
    <t>82.08710:3036 82.23660:3359 82.25320:3145 88.11205:11438 89.49392:2618 94.36909:5215 94.50142:3184 94.55614:3310 94.63560:4211 97.28159:10704 99.58102:2832 102.12781:4088 109.43230:3120 109.45848:4529 109.46591:3324 109.65954:3263 109.83105:2783 114.01475:2625 128.44661:3334 128.47896:3218 128.70094:4491 152.78331:2924 152.84024:3575 152.94034:3149 152.98212:3025 153.16965:2950 177.89980:2907 184.88818:3184 184.96289:3611 185.03902:3651 185.16893:2982 185.34366:3538 185.47693:3944 185.68552:2953 210.67148:2878 228.28622:3546 228.30751:4680 252.26956:4569 264.26794:62121 282.27975:7408 289.00333:4450 290.00897:3855 355.01855:3674 377.60034:5376 378.84366:4261 378.88730:4925 379.08618:5226 388.65930:4653 388.70761:3593 513.77911:7061 515.81677:5132</t>
  </si>
  <si>
    <t>PG</t>
  </si>
  <si>
    <t>PG 44:12|PG 22:6_22:6</t>
  </si>
  <si>
    <t>PG 22:6_22:6</t>
  </si>
  <si>
    <t>C50H75O10P</t>
  </si>
  <si>
    <t>XACKZSRNTPEYBU-UHFFFAOYSA-N</t>
  </si>
  <si>
    <t>O=C(OCC(OC(=O)CCC=CCC=CCC=CCC=CCC=CCC=CCC)COP(=O)(O)OCC(O)CO)CCC=CCC=CCC=CCC=CCC=CCC=CCC</t>
  </si>
  <si>
    <t>865.50220:44997 866.50687:0 867.51153:0</t>
  </si>
  <si>
    <t>82.30602:3547 82.45733:4499 94.75649:4341 94.76836:3489 94.79213:4575 109.36275:3787 109.75976:4427 112.98679:3585 128.64693:3492 128.80705:4360 128.85721:4884 128.95198:3484 129.04025:4379 129.04919:3922 153.02672:4433 153.29184:4492 153.52484:3754 185.17128:3948 185.77615:4814 212.51479:4034 228.71494:4917 229.39253:6340 290.22208:6063 321.85486:5385 327.23337:8777 335.95184:4974 377.86536:5390 378.29163:5098 378.95959:5075 383.19336:5209 391.46738:8378 513.88477:5789 514.86554:5306 515.90869:5128 516.20575:5606 516.27795:6817 740.09454:5387 740.67682:8020 740.93561:6710 743.08789:7973 743.62415:9010 794.28143:4995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</si>
</sst>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11" fontId="0" fillId="0" borderId="0" xfId="0" applyNumberForma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4947-38E6-1045-826F-D173860F34FF}">
  <dimension ref="A1:BG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5" sqref="A15:XFD15"/>
    </sheetView>
  </sheetViews>
  <sheetFormatPr baseColWidth="10" defaultRowHeight="16" x14ac:dyDescent="0.2"/>
  <cols>
    <col min="6" max="6" width="22.1640625" customWidth="1"/>
    <col min="38" max="38" width="32" customWidth="1"/>
    <col min="57" max="57" width="10.83203125" style="3"/>
  </cols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3" t="s">
        <v>56</v>
      </c>
      <c r="BF1" t="s">
        <v>57</v>
      </c>
      <c r="BG1" t="s">
        <v>58</v>
      </c>
    </row>
    <row r="2" spans="1:59" x14ac:dyDescent="0.2">
      <c r="A2" s="1" t="s">
        <v>59</v>
      </c>
      <c r="B2">
        <v>9717</v>
      </c>
      <c r="C2">
        <v>2.2389999999999999</v>
      </c>
      <c r="D2">
        <v>478.2944</v>
      </c>
      <c r="E2" t="s">
        <v>277</v>
      </c>
      <c r="F2" t="s">
        <v>277</v>
      </c>
      <c r="G2" t="s">
        <v>62</v>
      </c>
      <c r="H2" t="s">
        <v>63</v>
      </c>
      <c r="I2">
        <v>1</v>
      </c>
      <c r="J2" t="b">
        <v>1</v>
      </c>
      <c r="K2">
        <v>6.3659999999999997</v>
      </c>
      <c r="L2">
        <v>478.29390999999998</v>
      </c>
      <c r="M2" t="s">
        <v>278</v>
      </c>
      <c r="N2" t="s">
        <v>259</v>
      </c>
      <c r="O2" t="s">
        <v>279</v>
      </c>
      <c r="P2" t="s">
        <v>280</v>
      </c>
      <c r="Q2">
        <v>410</v>
      </c>
      <c r="R2" t="b">
        <v>0</v>
      </c>
      <c r="S2" t="b">
        <v>1</v>
      </c>
      <c r="T2" t="b">
        <v>1</v>
      </c>
      <c r="U2" t="s">
        <v>68</v>
      </c>
      <c r="V2" t="b">
        <v>0</v>
      </c>
      <c r="W2" t="b">
        <v>0</v>
      </c>
      <c r="X2">
        <v>9717</v>
      </c>
      <c r="Y2">
        <v>0</v>
      </c>
      <c r="Z2">
        <v>0</v>
      </c>
      <c r="AA2">
        <v>1</v>
      </c>
      <c r="AB2">
        <v>0.83</v>
      </c>
      <c r="AC2">
        <v>0.94</v>
      </c>
      <c r="AD2">
        <v>0.94</v>
      </c>
      <c r="AE2">
        <v>5</v>
      </c>
      <c r="AF2">
        <v>2</v>
      </c>
      <c r="AG2">
        <v>2.57</v>
      </c>
      <c r="AH2">
        <v>911.16</v>
      </c>
      <c r="AI2" t="s">
        <v>69</v>
      </c>
      <c r="AJ2" t="s">
        <v>281</v>
      </c>
      <c r="AK2" t="s">
        <v>282</v>
      </c>
      <c r="AL2">
        <v>70313702</v>
      </c>
      <c r="AM2">
        <v>6446701</v>
      </c>
      <c r="AN2">
        <v>8835349</v>
      </c>
      <c r="AO2">
        <v>3352362</v>
      </c>
      <c r="AP2">
        <v>4593001</v>
      </c>
      <c r="AQ2">
        <v>92476422</v>
      </c>
      <c r="AR2">
        <v>56071622</v>
      </c>
      <c r="AS2">
        <v>64383686</v>
      </c>
      <c r="AT2">
        <v>65370602</v>
      </c>
      <c r="AU2">
        <v>39207922</v>
      </c>
      <c r="AV2">
        <v>63819920</v>
      </c>
      <c r="AW2">
        <v>6719033</v>
      </c>
      <c r="AX2">
        <v>5077091</v>
      </c>
      <c r="AY2">
        <v>6781373</v>
      </c>
      <c r="AZ2">
        <v>3657321</v>
      </c>
      <c r="BA2">
        <v>4416849</v>
      </c>
      <c r="BB2">
        <v>4920268</v>
      </c>
      <c r="BC2">
        <v>8194526</v>
      </c>
      <c r="BD2">
        <v>6785838</v>
      </c>
      <c r="BE2" s="3">
        <v>27948895.260000002</v>
      </c>
      <c r="BF2">
        <v>29820003.719999999</v>
      </c>
      <c r="BG2">
        <v>1.0244746790000001</v>
      </c>
    </row>
    <row r="3" spans="1:59" x14ac:dyDescent="0.2">
      <c r="A3" s="1" t="s">
        <v>202</v>
      </c>
      <c r="B3">
        <v>29557</v>
      </c>
      <c r="C3">
        <v>22.238</v>
      </c>
      <c r="D3">
        <v>876.80169999999998</v>
      </c>
      <c r="E3" t="s">
        <v>203</v>
      </c>
      <c r="F3" t="s">
        <v>204</v>
      </c>
      <c r="G3" t="s">
        <v>205</v>
      </c>
      <c r="H3" t="s">
        <v>63</v>
      </c>
      <c r="I3">
        <v>1</v>
      </c>
      <c r="J3" t="b">
        <v>1</v>
      </c>
      <c r="K3">
        <v>14.813000000000001</v>
      </c>
      <c r="L3">
        <v>876.80151000000001</v>
      </c>
      <c r="M3" t="s">
        <v>206</v>
      </c>
      <c r="N3" t="s">
        <v>207</v>
      </c>
      <c r="O3" t="s">
        <v>208</v>
      </c>
      <c r="P3" t="s">
        <v>209</v>
      </c>
      <c r="Q3">
        <v>410</v>
      </c>
      <c r="R3" t="b">
        <v>0</v>
      </c>
      <c r="S3" t="b">
        <v>1</v>
      </c>
      <c r="T3" t="b">
        <v>1</v>
      </c>
      <c r="U3" t="s">
        <v>68</v>
      </c>
      <c r="V3" t="b">
        <v>0</v>
      </c>
      <c r="W3" t="b">
        <v>0</v>
      </c>
      <c r="X3">
        <v>29557</v>
      </c>
      <c r="Y3">
        <v>0</v>
      </c>
      <c r="Z3">
        <v>0</v>
      </c>
      <c r="AA3">
        <v>1</v>
      </c>
      <c r="AB3">
        <v>0.09</v>
      </c>
      <c r="AC3">
        <v>0.16</v>
      </c>
      <c r="AD3">
        <v>0.83</v>
      </c>
      <c r="AE3">
        <v>4</v>
      </c>
      <c r="AF3">
        <v>2</v>
      </c>
      <c r="AG3">
        <v>2.2000000000000002</v>
      </c>
      <c r="AH3">
        <v>7431.45</v>
      </c>
      <c r="AI3" t="s">
        <v>210</v>
      </c>
      <c r="AJ3" t="s">
        <v>211</v>
      </c>
      <c r="AK3" t="s">
        <v>212</v>
      </c>
      <c r="AL3">
        <v>74407380</v>
      </c>
      <c r="AM3">
        <v>16943899</v>
      </c>
      <c r="AN3">
        <v>14521623</v>
      </c>
      <c r="AO3">
        <v>14979107</v>
      </c>
      <c r="AP3">
        <v>22031773</v>
      </c>
      <c r="AQ3">
        <v>1767917967</v>
      </c>
      <c r="AR3">
        <v>1380563407</v>
      </c>
      <c r="AS3">
        <v>1448799600</v>
      </c>
      <c r="AT3">
        <v>1200225567</v>
      </c>
      <c r="AU3">
        <v>413528360</v>
      </c>
      <c r="AV3">
        <v>1442294223</v>
      </c>
      <c r="AW3">
        <v>14516082</v>
      </c>
      <c r="AX3">
        <v>17559826</v>
      </c>
      <c r="AY3">
        <v>20342384</v>
      </c>
      <c r="AZ3">
        <v>16016381</v>
      </c>
      <c r="BA3">
        <v>14135883</v>
      </c>
      <c r="BB3">
        <v>12439916</v>
      </c>
      <c r="BC3">
        <v>18799336</v>
      </c>
      <c r="BD3">
        <v>17411259</v>
      </c>
      <c r="BE3" s="3">
        <v>417233367</v>
      </c>
      <c r="BF3">
        <v>646513042.70000005</v>
      </c>
      <c r="BG3">
        <v>0.21669670699999999</v>
      </c>
    </row>
    <row r="4" spans="1:59" x14ac:dyDescent="0.2">
      <c r="A4" s="1" t="s">
        <v>202</v>
      </c>
      <c r="B4">
        <v>13094</v>
      </c>
      <c r="C4">
        <v>2.976</v>
      </c>
      <c r="D4">
        <v>508.37607000000003</v>
      </c>
      <c r="E4" t="s">
        <v>362</v>
      </c>
      <c r="F4" t="s">
        <v>362</v>
      </c>
      <c r="G4" t="s">
        <v>222</v>
      </c>
      <c r="H4" t="s">
        <v>63</v>
      </c>
      <c r="I4">
        <v>0.68</v>
      </c>
      <c r="J4" t="b">
        <v>1</v>
      </c>
      <c r="K4">
        <v>6.7249999999999996</v>
      </c>
      <c r="L4">
        <v>508.37619000000001</v>
      </c>
      <c r="M4" t="s">
        <v>363</v>
      </c>
      <c r="N4" t="s">
        <v>342</v>
      </c>
      <c r="O4" t="s">
        <v>364</v>
      </c>
      <c r="P4" t="s">
        <v>365</v>
      </c>
      <c r="Q4">
        <v>410</v>
      </c>
      <c r="R4" t="b">
        <v>0</v>
      </c>
      <c r="S4" t="b">
        <v>1</v>
      </c>
      <c r="T4" t="b">
        <v>1</v>
      </c>
      <c r="U4" t="s">
        <v>68</v>
      </c>
      <c r="V4" t="b">
        <v>0</v>
      </c>
      <c r="W4" t="b">
        <v>0</v>
      </c>
      <c r="X4">
        <v>13094</v>
      </c>
      <c r="Y4">
        <v>0</v>
      </c>
      <c r="Z4">
        <v>0</v>
      </c>
      <c r="AA4">
        <v>1</v>
      </c>
      <c r="AB4">
        <v>0.59</v>
      </c>
      <c r="AC4">
        <v>0.63</v>
      </c>
      <c r="AD4">
        <v>0.87</v>
      </c>
      <c r="AE4">
        <v>5</v>
      </c>
      <c r="AF4">
        <v>2</v>
      </c>
      <c r="AG4">
        <v>2.42</v>
      </c>
      <c r="AH4">
        <v>131.56</v>
      </c>
      <c r="AI4" t="s">
        <v>210</v>
      </c>
      <c r="AJ4" t="s">
        <v>366</v>
      </c>
      <c r="AK4" t="s">
        <v>367</v>
      </c>
      <c r="AL4">
        <v>111399372</v>
      </c>
      <c r="AM4">
        <v>10887217</v>
      </c>
      <c r="AN4">
        <v>19836630</v>
      </c>
      <c r="AO4">
        <v>15044361</v>
      </c>
      <c r="AP4">
        <v>9642312</v>
      </c>
      <c r="AQ4">
        <v>438931</v>
      </c>
      <c r="AR4">
        <v>121905</v>
      </c>
      <c r="AS4">
        <v>225452</v>
      </c>
      <c r="AT4">
        <v>104665</v>
      </c>
      <c r="AU4">
        <v>70810</v>
      </c>
      <c r="AV4">
        <v>495671</v>
      </c>
      <c r="AW4">
        <v>8722779</v>
      </c>
      <c r="AX4">
        <v>13911674</v>
      </c>
      <c r="AY4">
        <v>7301498</v>
      </c>
      <c r="AZ4">
        <v>13613725</v>
      </c>
      <c r="BA4">
        <v>16461423</v>
      </c>
      <c r="BB4">
        <v>8032069</v>
      </c>
      <c r="BC4">
        <v>21577257</v>
      </c>
      <c r="BD4">
        <v>8897528</v>
      </c>
      <c r="BE4" s="3">
        <v>14041330.439999999</v>
      </c>
      <c r="BF4">
        <v>24590144.440000001</v>
      </c>
      <c r="BG4">
        <v>0.23604567300000001</v>
      </c>
    </row>
    <row r="5" spans="1:59" x14ac:dyDescent="0.2">
      <c r="A5" s="4" t="s">
        <v>59</v>
      </c>
      <c r="B5">
        <v>18237</v>
      </c>
      <c r="C5">
        <v>11.715999999999999</v>
      </c>
      <c r="D5">
        <v>788.54614000000004</v>
      </c>
      <c r="E5" t="s">
        <v>60</v>
      </c>
      <c r="F5" t="s">
        <v>61</v>
      </c>
      <c r="G5" t="s">
        <v>62</v>
      </c>
      <c r="H5" t="s">
        <v>63</v>
      </c>
      <c r="I5">
        <v>1</v>
      </c>
      <c r="J5" t="b">
        <v>1</v>
      </c>
      <c r="K5">
        <v>9.0169999999999995</v>
      </c>
      <c r="L5">
        <v>788.54467999999997</v>
      </c>
      <c r="M5" t="s">
        <v>64</v>
      </c>
      <c r="N5" t="s">
        <v>65</v>
      </c>
      <c r="O5" t="s">
        <v>66</v>
      </c>
      <c r="P5" t="s">
        <v>67</v>
      </c>
      <c r="Q5">
        <v>410</v>
      </c>
      <c r="R5" t="b">
        <v>0</v>
      </c>
      <c r="S5" t="b">
        <v>1</v>
      </c>
      <c r="T5" t="b">
        <v>1</v>
      </c>
      <c r="U5" t="s">
        <v>68</v>
      </c>
      <c r="V5" t="b">
        <v>0</v>
      </c>
      <c r="W5" t="b">
        <v>0</v>
      </c>
      <c r="X5">
        <v>18237</v>
      </c>
      <c r="Y5">
        <v>0</v>
      </c>
      <c r="Z5">
        <v>0</v>
      </c>
      <c r="AA5">
        <v>1</v>
      </c>
      <c r="AB5">
        <v>0.43</v>
      </c>
      <c r="AC5">
        <v>0.57999999999999996</v>
      </c>
      <c r="AD5">
        <v>0.68</v>
      </c>
      <c r="AE5">
        <v>8</v>
      </c>
      <c r="AF5">
        <v>2</v>
      </c>
      <c r="AG5">
        <v>2.29</v>
      </c>
      <c r="AH5">
        <v>37039.69</v>
      </c>
      <c r="AI5" t="s">
        <v>69</v>
      </c>
      <c r="AJ5" t="s">
        <v>70</v>
      </c>
      <c r="AK5" t="s">
        <v>71</v>
      </c>
      <c r="AL5">
        <v>7104522</v>
      </c>
      <c r="AM5">
        <v>2922573</v>
      </c>
      <c r="AN5">
        <v>1694874</v>
      </c>
      <c r="AO5">
        <v>1422857</v>
      </c>
      <c r="AP5">
        <v>1618061</v>
      </c>
      <c r="AQ5">
        <v>1231558108</v>
      </c>
      <c r="AR5">
        <v>446506046</v>
      </c>
      <c r="AS5">
        <v>464504558</v>
      </c>
      <c r="AT5">
        <v>947062752</v>
      </c>
      <c r="AU5">
        <v>430919551</v>
      </c>
      <c r="AV5">
        <v>490420347</v>
      </c>
      <c r="AW5">
        <v>5604006</v>
      </c>
      <c r="AX5">
        <v>1706878</v>
      </c>
      <c r="AY5">
        <v>1638780</v>
      </c>
      <c r="AZ5">
        <v>1217440</v>
      </c>
      <c r="BA5">
        <v>1288251</v>
      </c>
      <c r="BB5">
        <v>2415483</v>
      </c>
      <c r="BC5">
        <v>1234302</v>
      </c>
      <c r="BD5">
        <v>7633294</v>
      </c>
      <c r="BE5">
        <v>202817512.26140299</v>
      </c>
      <c r="BF5">
        <v>357810198.91627198</v>
      </c>
      <c r="BG5">
        <v>1.8515120789999999</v>
      </c>
    </row>
    <row r="6" spans="1:59" x14ac:dyDescent="0.2">
      <c r="A6" s="4" t="s">
        <v>59</v>
      </c>
      <c r="B6">
        <v>19409</v>
      </c>
      <c r="C6">
        <v>9.6880000000000006</v>
      </c>
      <c r="D6">
        <v>834.52948000000004</v>
      </c>
      <c r="E6" t="s">
        <v>79</v>
      </c>
      <c r="F6" t="s">
        <v>80</v>
      </c>
      <c r="G6" t="s">
        <v>62</v>
      </c>
      <c r="H6" t="s">
        <v>63</v>
      </c>
      <c r="I6">
        <v>0.5</v>
      </c>
      <c r="J6" t="b">
        <v>1</v>
      </c>
      <c r="K6">
        <v>8.4990000000000006</v>
      </c>
      <c r="L6">
        <v>834.52910999999995</v>
      </c>
      <c r="M6" t="s">
        <v>81</v>
      </c>
      <c r="N6" t="s">
        <v>65</v>
      </c>
      <c r="O6" t="s">
        <v>82</v>
      </c>
      <c r="P6" t="s">
        <v>83</v>
      </c>
      <c r="Q6">
        <v>410</v>
      </c>
      <c r="R6" t="b">
        <v>0</v>
      </c>
      <c r="S6" t="b">
        <v>1</v>
      </c>
      <c r="T6" t="b">
        <v>1</v>
      </c>
      <c r="U6" t="s">
        <v>68</v>
      </c>
      <c r="V6" t="b">
        <v>0</v>
      </c>
      <c r="W6" t="b">
        <v>0</v>
      </c>
      <c r="X6">
        <v>19409</v>
      </c>
      <c r="Y6">
        <v>0</v>
      </c>
      <c r="Z6">
        <v>0</v>
      </c>
      <c r="AA6">
        <v>0.97</v>
      </c>
      <c r="AB6">
        <v>7.0000000000000007E-2</v>
      </c>
      <c r="AC6">
        <v>0.15</v>
      </c>
      <c r="AD6">
        <v>0.53</v>
      </c>
      <c r="AE6">
        <v>8</v>
      </c>
      <c r="AF6">
        <v>2</v>
      </c>
      <c r="AG6">
        <v>2.04</v>
      </c>
      <c r="AH6">
        <v>11755.24</v>
      </c>
      <c r="AI6" t="s">
        <v>69</v>
      </c>
      <c r="AJ6" t="s">
        <v>84</v>
      </c>
      <c r="AK6" t="s">
        <v>85</v>
      </c>
      <c r="AL6">
        <v>902037</v>
      </c>
      <c r="AM6">
        <v>247904</v>
      </c>
      <c r="AN6">
        <v>21592</v>
      </c>
      <c r="AO6">
        <v>21998</v>
      </c>
      <c r="AP6">
        <v>126512</v>
      </c>
      <c r="AQ6">
        <v>162477074</v>
      </c>
      <c r="AR6">
        <v>30577660</v>
      </c>
      <c r="AS6">
        <v>32253373</v>
      </c>
      <c r="AT6">
        <v>66408938</v>
      </c>
      <c r="AU6">
        <v>937314791</v>
      </c>
      <c r="AV6">
        <v>38199736</v>
      </c>
      <c r="AW6">
        <v>284309</v>
      </c>
      <c r="AX6">
        <v>165474</v>
      </c>
      <c r="AY6">
        <v>88470</v>
      </c>
      <c r="AZ6">
        <v>65454</v>
      </c>
      <c r="BA6">
        <v>56281</v>
      </c>
      <c r="BB6">
        <v>216254</v>
      </c>
      <c r="BC6">
        <v>58634</v>
      </c>
      <c r="BD6">
        <v>635718</v>
      </c>
      <c r="BE6">
        <v>63541534.906743601</v>
      </c>
      <c r="BF6">
        <v>209266123.11948901</v>
      </c>
      <c r="BG6">
        <v>0.443363803</v>
      </c>
    </row>
    <row r="7" spans="1:59" x14ac:dyDescent="0.2">
      <c r="A7" s="4" t="s">
        <v>59</v>
      </c>
      <c r="B7">
        <v>19988</v>
      </c>
      <c r="C7">
        <v>8.6270000000000007</v>
      </c>
      <c r="D7">
        <v>857.51953000000003</v>
      </c>
      <c r="E7" t="s">
        <v>115</v>
      </c>
      <c r="F7" t="s">
        <v>116</v>
      </c>
      <c r="G7" t="s">
        <v>62</v>
      </c>
      <c r="H7" t="s">
        <v>63</v>
      </c>
      <c r="I7">
        <v>1</v>
      </c>
      <c r="J7" t="b">
        <v>1</v>
      </c>
      <c r="K7">
        <v>8.1739999999999995</v>
      </c>
      <c r="L7">
        <v>857.51862000000006</v>
      </c>
      <c r="M7" t="s">
        <v>117</v>
      </c>
      <c r="N7" t="s">
        <v>89</v>
      </c>
      <c r="O7" t="s">
        <v>118</v>
      </c>
      <c r="P7" t="s">
        <v>119</v>
      </c>
      <c r="Q7">
        <v>410</v>
      </c>
      <c r="R7" t="b">
        <v>0</v>
      </c>
      <c r="S7" t="b">
        <v>1</v>
      </c>
      <c r="T7" t="b">
        <v>1</v>
      </c>
      <c r="U7" t="s">
        <v>68</v>
      </c>
      <c r="V7" t="b">
        <v>0</v>
      </c>
      <c r="W7" t="b">
        <v>0</v>
      </c>
      <c r="X7">
        <v>19988</v>
      </c>
      <c r="Y7">
        <v>0</v>
      </c>
      <c r="Z7">
        <v>0</v>
      </c>
      <c r="AA7">
        <v>1</v>
      </c>
      <c r="AB7">
        <v>0.24</v>
      </c>
      <c r="AC7">
        <v>0.43</v>
      </c>
      <c r="AD7">
        <v>0.79</v>
      </c>
      <c r="AE7">
        <v>9</v>
      </c>
      <c r="AF7">
        <v>2</v>
      </c>
      <c r="AG7">
        <v>2.27</v>
      </c>
      <c r="AH7">
        <v>26561.74</v>
      </c>
      <c r="AI7" t="s">
        <v>69</v>
      </c>
      <c r="AJ7" t="s">
        <v>120</v>
      </c>
      <c r="AK7" t="s">
        <v>121</v>
      </c>
      <c r="AL7">
        <v>1703848</v>
      </c>
      <c r="AM7">
        <v>327349</v>
      </c>
      <c r="AN7">
        <v>196195</v>
      </c>
      <c r="AO7">
        <v>509820</v>
      </c>
      <c r="AP7">
        <v>975303</v>
      </c>
      <c r="AQ7">
        <v>601969032</v>
      </c>
      <c r="AR7">
        <v>213470178</v>
      </c>
      <c r="AS7">
        <v>200303148</v>
      </c>
      <c r="AT7">
        <v>449472719</v>
      </c>
      <c r="AU7">
        <v>185440520</v>
      </c>
      <c r="AV7">
        <v>200013659</v>
      </c>
      <c r="AW7">
        <v>454422</v>
      </c>
      <c r="AX7">
        <v>480524</v>
      </c>
      <c r="AY7">
        <v>852644</v>
      </c>
      <c r="AZ7">
        <v>663321</v>
      </c>
      <c r="BA7">
        <v>700362</v>
      </c>
      <c r="BB7">
        <v>694906</v>
      </c>
      <c r="BC7">
        <v>747017</v>
      </c>
      <c r="BD7">
        <v>434684</v>
      </c>
      <c r="BE7">
        <v>93069489.868419796</v>
      </c>
      <c r="BF7">
        <v>170332471.44701299</v>
      </c>
      <c r="BG7">
        <v>1.061201447</v>
      </c>
    </row>
    <row r="8" spans="1:59" x14ac:dyDescent="0.2">
      <c r="A8" s="4" t="s">
        <v>59</v>
      </c>
      <c r="B8">
        <v>20642</v>
      </c>
      <c r="C8">
        <v>9.907</v>
      </c>
      <c r="D8">
        <v>885.55083999999999</v>
      </c>
      <c r="E8" t="s">
        <v>129</v>
      </c>
      <c r="F8" t="s">
        <v>130</v>
      </c>
      <c r="G8" t="s">
        <v>62</v>
      </c>
      <c r="H8" t="s">
        <v>63</v>
      </c>
      <c r="I8">
        <v>1</v>
      </c>
      <c r="J8" t="b">
        <v>1</v>
      </c>
      <c r="K8">
        <v>8.4740000000000002</v>
      </c>
      <c r="L8">
        <v>885.54993000000002</v>
      </c>
      <c r="M8" t="s">
        <v>131</v>
      </c>
      <c r="N8" t="s">
        <v>89</v>
      </c>
      <c r="O8" t="s">
        <v>132</v>
      </c>
      <c r="P8" t="s">
        <v>133</v>
      </c>
      <c r="Q8">
        <v>410</v>
      </c>
      <c r="R8" t="b">
        <v>0</v>
      </c>
      <c r="S8" t="b">
        <v>1</v>
      </c>
      <c r="T8" t="b">
        <v>1</v>
      </c>
      <c r="U8" t="s">
        <v>68</v>
      </c>
      <c r="V8" t="b">
        <v>0</v>
      </c>
      <c r="W8" t="b">
        <v>0</v>
      </c>
      <c r="X8">
        <v>20642</v>
      </c>
      <c r="Y8">
        <v>0</v>
      </c>
      <c r="Z8">
        <v>0</v>
      </c>
      <c r="AA8">
        <v>1</v>
      </c>
      <c r="AB8">
        <v>0.55000000000000004</v>
      </c>
      <c r="AC8">
        <v>0.72</v>
      </c>
      <c r="AD8">
        <v>0.91</v>
      </c>
      <c r="AE8">
        <v>9</v>
      </c>
      <c r="AF8">
        <v>2</v>
      </c>
      <c r="AG8">
        <v>2.4500000000000002</v>
      </c>
      <c r="AH8">
        <v>105860.1</v>
      </c>
      <c r="AI8" t="s">
        <v>69</v>
      </c>
      <c r="AJ8" t="s">
        <v>134</v>
      </c>
      <c r="AK8" t="s">
        <v>135</v>
      </c>
      <c r="AL8">
        <v>11386785</v>
      </c>
      <c r="AM8">
        <v>2614637</v>
      </c>
      <c r="AN8">
        <v>2118990</v>
      </c>
      <c r="AO8">
        <v>4377550</v>
      </c>
      <c r="AP8">
        <v>4672189</v>
      </c>
      <c r="AQ8">
        <v>1715885980</v>
      </c>
      <c r="AR8">
        <v>575683871</v>
      </c>
      <c r="AS8">
        <v>552166034</v>
      </c>
      <c r="AT8">
        <v>1284684265</v>
      </c>
      <c r="AU8">
        <v>558322109</v>
      </c>
      <c r="AV8">
        <v>565355828</v>
      </c>
      <c r="AW8">
        <v>3297816</v>
      </c>
      <c r="AX8">
        <v>2682204</v>
      </c>
      <c r="AY8">
        <v>4776685</v>
      </c>
      <c r="AZ8">
        <v>3299706</v>
      </c>
      <c r="BA8">
        <v>4577026</v>
      </c>
      <c r="BB8">
        <v>3704137</v>
      </c>
      <c r="BC8">
        <v>3554453</v>
      </c>
      <c r="BD8">
        <v>3660298</v>
      </c>
      <c r="BE8">
        <v>265876186.93700701</v>
      </c>
      <c r="BF8">
        <v>483895077.40728301</v>
      </c>
      <c r="BG8">
        <v>1.027610041</v>
      </c>
    </row>
    <row r="9" spans="1:59" x14ac:dyDescent="0.2">
      <c r="A9" s="4" t="s">
        <v>59</v>
      </c>
      <c r="B9">
        <v>20605</v>
      </c>
      <c r="C9">
        <v>8.6189999999999998</v>
      </c>
      <c r="D9">
        <v>883.53485000000001</v>
      </c>
      <c r="E9" t="s">
        <v>136</v>
      </c>
      <c r="F9" t="s">
        <v>143</v>
      </c>
      <c r="G9" t="s">
        <v>62</v>
      </c>
      <c r="H9" t="s">
        <v>63</v>
      </c>
      <c r="I9">
        <v>0.95</v>
      </c>
      <c r="J9" t="b">
        <v>1</v>
      </c>
      <c r="K9">
        <v>8.2170000000000005</v>
      </c>
      <c r="L9">
        <v>883.53417999999999</v>
      </c>
      <c r="M9" t="s">
        <v>138</v>
      </c>
      <c r="N9" t="s">
        <v>89</v>
      </c>
      <c r="O9" t="s">
        <v>139</v>
      </c>
      <c r="P9" t="s">
        <v>140</v>
      </c>
      <c r="Q9">
        <v>410</v>
      </c>
      <c r="R9" t="b">
        <v>0</v>
      </c>
      <c r="S9" t="b">
        <v>1</v>
      </c>
      <c r="T9" t="b">
        <v>1</v>
      </c>
      <c r="U9" t="s">
        <v>68</v>
      </c>
      <c r="V9" t="b">
        <v>0</v>
      </c>
      <c r="W9" t="b">
        <v>0</v>
      </c>
      <c r="X9">
        <v>20605</v>
      </c>
      <c r="Y9">
        <v>0</v>
      </c>
      <c r="Z9">
        <v>0</v>
      </c>
      <c r="AA9">
        <v>1</v>
      </c>
      <c r="AB9">
        <v>0.12</v>
      </c>
      <c r="AC9">
        <v>0.23</v>
      </c>
      <c r="AD9">
        <v>0.75</v>
      </c>
      <c r="AE9">
        <v>9</v>
      </c>
      <c r="AF9">
        <v>2</v>
      </c>
      <c r="AG9">
        <v>2.1800000000000002</v>
      </c>
      <c r="AH9">
        <v>15550.49</v>
      </c>
      <c r="AI9" t="s">
        <v>69</v>
      </c>
      <c r="AJ9" t="s">
        <v>144</v>
      </c>
      <c r="AK9" t="s">
        <v>145</v>
      </c>
      <c r="AL9">
        <v>900721</v>
      </c>
      <c r="AM9">
        <v>258469</v>
      </c>
      <c r="AN9">
        <v>154764</v>
      </c>
      <c r="AO9">
        <v>216642</v>
      </c>
      <c r="AP9">
        <v>407650</v>
      </c>
      <c r="AQ9">
        <v>548990756</v>
      </c>
      <c r="AR9">
        <v>206791089</v>
      </c>
      <c r="AS9">
        <v>206411669</v>
      </c>
      <c r="AT9">
        <v>411823816</v>
      </c>
      <c r="AU9">
        <v>69802698</v>
      </c>
      <c r="AV9">
        <v>201856507</v>
      </c>
      <c r="AW9">
        <v>266862</v>
      </c>
      <c r="AX9">
        <v>210502</v>
      </c>
      <c r="AY9">
        <v>301346</v>
      </c>
      <c r="AZ9">
        <v>229837</v>
      </c>
      <c r="BA9">
        <v>332386</v>
      </c>
      <c r="BB9">
        <v>298848</v>
      </c>
      <c r="BC9">
        <v>267988</v>
      </c>
      <c r="BD9">
        <v>325602</v>
      </c>
      <c r="BE9">
        <v>82542467.176733196</v>
      </c>
      <c r="BF9">
        <v>156560746.59109801</v>
      </c>
      <c r="BG9">
        <v>0.75831814500000005</v>
      </c>
    </row>
    <row r="10" spans="1:59" x14ac:dyDescent="0.2">
      <c r="A10" s="4" t="s">
        <v>59</v>
      </c>
      <c r="B10">
        <v>15549</v>
      </c>
      <c r="C10">
        <v>12.381</v>
      </c>
      <c r="D10">
        <v>700.53008999999997</v>
      </c>
      <c r="E10" t="s">
        <v>146</v>
      </c>
      <c r="F10" t="s">
        <v>147</v>
      </c>
      <c r="G10" t="s">
        <v>62</v>
      </c>
      <c r="H10" t="s">
        <v>63</v>
      </c>
      <c r="I10">
        <v>0.7</v>
      </c>
      <c r="J10" t="b">
        <v>1</v>
      </c>
      <c r="K10">
        <v>10.24</v>
      </c>
      <c r="L10">
        <v>700.52868999999998</v>
      </c>
      <c r="M10" t="s">
        <v>148</v>
      </c>
      <c r="N10" t="s">
        <v>149</v>
      </c>
      <c r="O10" t="s">
        <v>150</v>
      </c>
      <c r="P10" t="s">
        <v>151</v>
      </c>
      <c r="Q10">
        <v>410</v>
      </c>
      <c r="R10" t="b">
        <v>0</v>
      </c>
      <c r="S10" t="b">
        <v>1</v>
      </c>
      <c r="T10" t="b">
        <v>1</v>
      </c>
      <c r="U10" t="s">
        <v>68</v>
      </c>
      <c r="V10" t="b">
        <v>0</v>
      </c>
      <c r="W10" t="b">
        <v>0</v>
      </c>
      <c r="X10">
        <v>15549</v>
      </c>
      <c r="Y10">
        <v>0</v>
      </c>
      <c r="Z10">
        <v>0</v>
      </c>
      <c r="AA10">
        <v>1</v>
      </c>
      <c r="AB10">
        <v>0.24</v>
      </c>
      <c r="AC10">
        <v>0.27</v>
      </c>
      <c r="AD10">
        <v>0.81</v>
      </c>
      <c r="AE10">
        <v>3</v>
      </c>
      <c r="AF10">
        <v>2</v>
      </c>
      <c r="AG10">
        <v>2.2400000000000002</v>
      </c>
      <c r="AH10">
        <v>37608.839999999997</v>
      </c>
      <c r="AI10" t="s">
        <v>69</v>
      </c>
      <c r="AJ10" t="s">
        <v>152</v>
      </c>
      <c r="AK10" t="s">
        <v>153</v>
      </c>
      <c r="AL10">
        <v>2096164</v>
      </c>
      <c r="AM10">
        <v>1397057</v>
      </c>
      <c r="AN10">
        <v>420855</v>
      </c>
      <c r="AO10">
        <v>96524</v>
      </c>
      <c r="AP10">
        <v>341435</v>
      </c>
      <c r="AQ10">
        <v>764716970</v>
      </c>
      <c r="AR10">
        <v>610186484</v>
      </c>
      <c r="AS10">
        <v>620879578</v>
      </c>
      <c r="AT10">
        <v>573826238</v>
      </c>
      <c r="AU10">
        <v>372838035</v>
      </c>
      <c r="AV10">
        <v>686534104</v>
      </c>
      <c r="AW10">
        <v>1320187</v>
      </c>
      <c r="AX10">
        <v>685937</v>
      </c>
      <c r="AY10">
        <v>197499</v>
      </c>
      <c r="AZ10">
        <v>214354</v>
      </c>
      <c r="BA10">
        <v>227248</v>
      </c>
      <c r="BB10">
        <v>1091601</v>
      </c>
      <c r="BC10">
        <v>500329</v>
      </c>
      <c r="BD10">
        <v>2257270</v>
      </c>
      <c r="BE10">
        <v>182138824.72695801</v>
      </c>
      <c r="BF10">
        <v>291886610.06908399</v>
      </c>
      <c r="BG10">
        <v>1.998490597</v>
      </c>
    </row>
    <row r="11" spans="1:59" x14ac:dyDescent="0.2">
      <c r="A11" s="4" t="s">
        <v>59</v>
      </c>
      <c r="B11">
        <v>16168</v>
      </c>
      <c r="C11">
        <v>14.443</v>
      </c>
      <c r="D11">
        <v>728.56133999999997</v>
      </c>
      <c r="E11" t="s">
        <v>161</v>
      </c>
      <c r="F11" t="s">
        <v>162</v>
      </c>
      <c r="G11" t="s">
        <v>62</v>
      </c>
      <c r="H11" t="s">
        <v>63</v>
      </c>
      <c r="I11">
        <v>0.75</v>
      </c>
      <c r="J11" t="b">
        <v>1</v>
      </c>
      <c r="K11">
        <v>11.613</v>
      </c>
      <c r="L11">
        <v>728.56</v>
      </c>
      <c r="M11" t="s">
        <v>156</v>
      </c>
      <c r="N11" t="s">
        <v>149</v>
      </c>
      <c r="O11" t="s">
        <v>163</v>
      </c>
      <c r="P11" t="s">
        <v>164</v>
      </c>
      <c r="Q11">
        <v>410</v>
      </c>
      <c r="R11" t="b">
        <v>0</v>
      </c>
      <c r="S11" t="b">
        <v>1</v>
      </c>
      <c r="T11" t="b">
        <v>1</v>
      </c>
      <c r="U11" t="s">
        <v>68</v>
      </c>
      <c r="V11" t="b">
        <v>0</v>
      </c>
      <c r="W11" t="b">
        <v>0</v>
      </c>
      <c r="X11">
        <v>16168</v>
      </c>
      <c r="Y11">
        <v>0</v>
      </c>
      <c r="Z11">
        <v>0</v>
      </c>
      <c r="AA11">
        <v>1</v>
      </c>
      <c r="AB11">
        <v>0.26</v>
      </c>
      <c r="AC11">
        <v>0.28999999999999998</v>
      </c>
      <c r="AD11">
        <v>0.82</v>
      </c>
      <c r="AE11">
        <v>3</v>
      </c>
      <c r="AF11">
        <v>2</v>
      </c>
      <c r="AG11">
        <v>2.2599999999999998</v>
      </c>
      <c r="AH11">
        <v>5219.6099999999997</v>
      </c>
      <c r="AI11" t="s">
        <v>69</v>
      </c>
      <c r="AJ11" t="s">
        <v>165</v>
      </c>
      <c r="AK11" t="s">
        <v>166</v>
      </c>
      <c r="AL11">
        <v>4191419</v>
      </c>
      <c r="AM11">
        <v>2351950</v>
      </c>
      <c r="AN11">
        <v>582654</v>
      </c>
      <c r="AO11">
        <v>53301</v>
      </c>
      <c r="AP11">
        <v>463786</v>
      </c>
      <c r="AQ11">
        <v>236918768</v>
      </c>
      <c r="AR11">
        <v>174806641</v>
      </c>
      <c r="AS11">
        <v>183402606</v>
      </c>
      <c r="AT11">
        <v>167022304</v>
      </c>
      <c r="AU11">
        <v>111826837</v>
      </c>
      <c r="AV11">
        <v>199624746</v>
      </c>
      <c r="AW11">
        <v>1719055</v>
      </c>
      <c r="AX11">
        <v>987453</v>
      </c>
      <c r="AY11">
        <v>210957</v>
      </c>
      <c r="AZ11">
        <v>228494</v>
      </c>
      <c r="BA11">
        <v>305528</v>
      </c>
      <c r="BB11">
        <v>1597993</v>
      </c>
      <c r="BC11">
        <v>758521</v>
      </c>
      <c r="BD11">
        <v>3000726</v>
      </c>
      <c r="BE11">
        <v>54726304.916851699</v>
      </c>
      <c r="BF11">
        <v>86065047.204370901</v>
      </c>
      <c r="BG11">
        <v>1.8392445369999999</v>
      </c>
    </row>
    <row r="12" spans="1:59" x14ac:dyDescent="0.2">
      <c r="A12" s="4" t="s">
        <v>59</v>
      </c>
      <c r="B12">
        <v>9778</v>
      </c>
      <c r="C12">
        <v>3.5310000000000001</v>
      </c>
      <c r="D12">
        <v>480.30907999999999</v>
      </c>
      <c r="E12" t="s">
        <v>271</v>
      </c>
      <c r="F12" t="s">
        <v>271</v>
      </c>
      <c r="G12" t="s">
        <v>62</v>
      </c>
      <c r="H12" t="s">
        <v>63</v>
      </c>
      <c r="I12">
        <v>1</v>
      </c>
      <c r="J12" t="b">
        <v>1</v>
      </c>
      <c r="K12">
        <v>6.8280000000000003</v>
      </c>
      <c r="L12">
        <v>480.30959999999999</v>
      </c>
      <c r="M12" t="s">
        <v>272</v>
      </c>
      <c r="N12" t="s">
        <v>259</v>
      </c>
      <c r="O12" t="s">
        <v>273</v>
      </c>
      <c r="P12" t="s">
        <v>274</v>
      </c>
      <c r="Q12">
        <v>410</v>
      </c>
      <c r="R12" t="b">
        <v>0</v>
      </c>
      <c r="S12" t="b">
        <v>1</v>
      </c>
      <c r="T12" t="b">
        <v>1</v>
      </c>
      <c r="U12" t="s">
        <v>68</v>
      </c>
      <c r="V12" t="b">
        <v>0</v>
      </c>
      <c r="W12" t="b">
        <v>0</v>
      </c>
      <c r="X12">
        <v>9778</v>
      </c>
      <c r="Y12">
        <v>0</v>
      </c>
      <c r="Z12">
        <v>0</v>
      </c>
      <c r="AA12">
        <v>1</v>
      </c>
      <c r="AB12">
        <v>0.86</v>
      </c>
      <c r="AC12">
        <v>0.94</v>
      </c>
      <c r="AD12">
        <v>0.94</v>
      </c>
      <c r="AE12">
        <v>5</v>
      </c>
      <c r="AF12">
        <v>2</v>
      </c>
      <c r="AG12">
        <v>2.58</v>
      </c>
      <c r="AH12">
        <v>664.26</v>
      </c>
      <c r="AI12" t="s">
        <v>69</v>
      </c>
      <c r="AJ12" t="s">
        <v>275</v>
      </c>
      <c r="AK12" t="s">
        <v>276</v>
      </c>
      <c r="AL12">
        <v>121224983</v>
      </c>
      <c r="AM12">
        <v>25289986</v>
      </c>
      <c r="AN12">
        <v>30470948</v>
      </c>
      <c r="AO12">
        <v>16818196</v>
      </c>
      <c r="AP12">
        <v>25093634</v>
      </c>
      <c r="AQ12">
        <v>24450775</v>
      </c>
      <c r="AR12">
        <v>16830591</v>
      </c>
      <c r="AS12">
        <v>17308002</v>
      </c>
      <c r="AT12">
        <v>18413138</v>
      </c>
      <c r="AU12">
        <v>22255877</v>
      </c>
      <c r="AV12">
        <v>20670616</v>
      </c>
      <c r="AW12">
        <v>26599420</v>
      </c>
      <c r="AX12">
        <v>19809004</v>
      </c>
      <c r="AY12">
        <v>26563180</v>
      </c>
      <c r="AZ12">
        <v>22216384</v>
      </c>
      <c r="BA12">
        <v>23232828</v>
      </c>
      <c r="BB12">
        <v>21640496</v>
      </c>
      <c r="BC12">
        <v>30118430</v>
      </c>
      <c r="BD12">
        <v>22963990</v>
      </c>
      <c r="BE12">
        <v>32846354.661706999</v>
      </c>
      <c r="BF12">
        <v>31116547.045183301</v>
      </c>
      <c r="BG12">
        <v>1.0826350339999999</v>
      </c>
    </row>
    <row r="13" spans="1:59" x14ac:dyDescent="0.2">
      <c r="A13" s="4" t="s">
        <v>59</v>
      </c>
      <c r="B13">
        <v>9592</v>
      </c>
      <c r="C13">
        <v>1.0589999999999999</v>
      </c>
      <c r="D13">
        <v>474.26096000000001</v>
      </c>
      <c r="E13" t="s">
        <v>289</v>
      </c>
      <c r="F13" t="s">
        <v>289</v>
      </c>
      <c r="G13" t="s">
        <v>62</v>
      </c>
      <c r="H13" t="s">
        <v>63</v>
      </c>
      <c r="I13">
        <v>0.8</v>
      </c>
      <c r="J13" t="b">
        <v>1</v>
      </c>
      <c r="K13">
        <v>6.1040000000000001</v>
      </c>
      <c r="L13">
        <v>474.26260000000002</v>
      </c>
      <c r="M13" t="s">
        <v>290</v>
      </c>
      <c r="N13" t="s">
        <v>259</v>
      </c>
      <c r="O13" t="s">
        <v>291</v>
      </c>
      <c r="P13" t="s">
        <v>292</v>
      </c>
      <c r="Q13">
        <v>410</v>
      </c>
      <c r="R13" t="b">
        <v>0</v>
      </c>
      <c r="S13" t="b">
        <v>1</v>
      </c>
      <c r="T13" t="b">
        <v>1</v>
      </c>
      <c r="U13" t="s">
        <v>68</v>
      </c>
      <c r="V13" t="b">
        <v>0</v>
      </c>
      <c r="W13" t="b">
        <v>0</v>
      </c>
      <c r="X13">
        <v>9592</v>
      </c>
      <c r="Y13">
        <v>0</v>
      </c>
      <c r="Z13">
        <v>0</v>
      </c>
      <c r="AA13">
        <v>0.99</v>
      </c>
      <c r="AB13">
        <v>0.36</v>
      </c>
      <c r="AC13">
        <v>0.42</v>
      </c>
      <c r="AD13">
        <v>0.76</v>
      </c>
      <c r="AE13">
        <v>5</v>
      </c>
      <c r="AF13">
        <v>2</v>
      </c>
      <c r="AG13">
        <v>2.27</v>
      </c>
      <c r="AH13">
        <v>44.81</v>
      </c>
      <c r="AI13" t="s">
        <v>69</v>
      </c>
      <c r="AJ13" t="s">
        <v>293</v>
      </c>
      <c r="AK13" t="s">
        <v>294</v>
      </c>
      <c r="AL13">
        <v>3569228</v>
      </c>
      <c r="AM13">
        <v>833255</v>
      </c>
      <c r="AN13">
        <v>1099258</v>
      </c>
      <c r="AO13">
        <v>508368</v>
      </c>
      <c r="AP13">
        <v>973160</v>
      </c>
      <c r="AQ13">
        <v>742167</v>
      </c>
      <c r="AR13">
        <v>437248</v>
      </c>
      <c r="AS13">
        <v>481961</v>
      </c>
      <c r="AT13">
        <v>590855</v>
      </c>
      <c r="AU13">
        <v>85846</v>
      </c>
      <c r="AV13">
        <v>511603</v>
      </c>
      <c r="AW13">
        <v>974727</v>
      </c>
      <c r="AX13">
        <v>875508</v>
      </c>
      <c r="AY13">
        <v>757115</v>
      </c>
      <c r="AZ13">
        <v>666894</v>
      </c>
      <c r="BA13">
        <v>997624</v>
      </c>
      <c r="BB13">
        <v>556733</v>
      </c>
      <c r="BC13">
        <v>1107821</v>
      </c>
      <c r="BD13">
        <v>668100</v>
      </c>
      <c r="BE13">
        <v>1039566.9208336</v>
      </c>
      <c r="BF13">
        <v>1038613.3869676</v>
      </c>
      <c r="BG13">
        <v>3.4579998509999998</v>
      </c>
    </row>
    <row r="14" spans="1:59" x14ac:dyDescent="0.2">
      <c r="A14" s="4" t="s">
        <v>202</v>
      </c>
      <c r="B14">
        <v>10786</v>
      </c>
      <c r="C14">
        <v>1.6519999999999999</v>
      </c>
      <c r="D14">
        <v>454.32855000000001</v>
      </c>
      <c r="E14" t="s">
        <v>340</v>
      </c>
      <c r="F14" t="s">
        <v>340</v>
      </c>
      <c r="G14" t="s">
        <v>222</v>
      </c>
      <c r="H14" t="s">
        <v>63</v>
      </c>
      <c r="I14">
        <v>0.63</v>
      </c>
      <c r="J14" t="b">
        <v>1</v>
      </c>
      <c r="K14">
        <v>5.6239999999999997</v>
      </c>
      <c r="L14">
        <v>454.32918999999998</v>
      </c>
      <c r="M14" t="s">
        <v>341</v>
      </c>
      <c r="N14" t="s">
        <v>342</v>
      </c>
      <c r="O14" t="s">
        <v>343</v>
      </c>
      <c r="P14" t="s">
        <v>344</v>
      </c>
      <c r="Q14">
        <v>410</v>
      </c>
      <c r="R14" t="b">
        <v>0</v>
      </c>
      <c r="S14" t="b">
        <v>1</v>
      </c>
      <c r="T14" t="b">
        <v>1</v>
      </c>
      <c r="U14" t="s">
        <v>68</v>
      </c>
      <c r="V14" t="b">
        <v>0</v>
      </c>
      <c r="W14" t="b">
        <v>0</v>
      </c>
      <c r="X14">
        <v>10786</v>
      </c>
      <c r="Y14">
        <v>0</v>
      </c>
      <c r="Z14">
        <v>0</v>
      </c>
      <c r="AA14">
        <v>1</v>
      </c>
      <c r="AB14">
        <v>0.57999999999999996</v>
      </c>
      <c r="AC14">
        <v>0.59</v>
      </c>
      <c r="AD14">
        <v>0.92</v>
      </c>
      <c r="AE14">
        <v>5</v>
      </c>
      <c r="AF14">
        <v>2</v>
      </c>
      <c r="AG14">
        <v>2.4300000000000002</v>
      </c>
      <c r="AH14">
        <v>126.37</v>
      </c>
      <c r="AI14" t="s">
        <v>210</v>
      </c>
      <c r="AJ14" t="s">
        <v>345</v>
      </c>
      <c r="AK14" t="s">
        <v>346</v>
      </c>
      <c r="AL14">
        <v>45459790</v>
      </c>
      <c r="AM14">
        <v>15004973</v>
      </c>
      <c r="AN14">
        <v>17704716</v>
      </c>
      <c r="AO14">
        <v>11481543</v>
      </c>
      <c r="AP14">
        <v>13271383</v>
      </c>
      <c r="AQ14">
        <v>171854</v>
      </c>
      <c r="AR14">
        <v>132704</v>
      </c>
      <c r="AS14">
        <v>173285</v>
      </c>
      <c r="AT14">
        <v>116141</v>
      </c>
      <c r="AU14">
        <v>126619</v>
      </c>
      <c r="AV14">
        <v>142578</v>
      </c>
      <c r="AW14">
        <v>17535316</v>
      </c>
      <c r="AX14">
        <v>11636729</v>
      </c>
      <c r="AY14">
        <v>14438702</v>
      </c>
      <c r="AZ14">
        <v>12245181</v>
      </c>
      <c r="BA14">
        <v>13632169</v>
      </c>
      <c r="BB14">
        <v>13167255</v>
      </c>
      <c r="BC14">
        <v>17209102</v>
      </c>
      <c r="BD14">
        <v>13021030</v>
      </c>
      <c r="BE14">
        <v>11403740.533389499</v>
      </c>
      <c r="BF14">
        <v>10720320.396120099</v>
      </c>
      <c r="BG14">
        <v>1.4086702200000001</v>
      </c>
    </row>
    <row r="15" spans="1:59" x14ac:dyDescent="0.2">
      <c r="A15" s="4" t="s">
        <v>202</v>
      </c>
      <c r="B15">
        <v>11423</v>
      </c>
      <c r="C15">
        <v>2.0350000000000001</v>
      </c>
      <c r="D15">
        <v>468.34289999999999</v>
      </c>
      <c r="E15" t="s">
        <v>347</v>
      </c>
      <c r="F15" t="s">
        <v>348</v>
      </c>
      <c r="G15" t="s">
        <v>222</v>
      </c>
      <c r="H15" t="s">
        <v>63</v>
      </c>
      <c r="I15">
        <v>0.26</v>
      </c>
      <c r="J15" t="b">
        <v>1</v>
      </c>
      <c r="K15">
        <v>5.88</v>
      </c>
      <c r="L15">
        <v>468.34491000000003</v>
      </c>
      <c r="M15" t="s">
        <v>349</v>
      </c>
      <c r="N15" t="s">
        <v>342</v>
      </c>
      <c r="O15" t="s">
        <v>350</v>
      </c>
      <c r="P15" t="s">
        <v>351</v>
      </c>
      <c r="Q15">
        <v>410</v>
      </c>
      <c r="R15" t="b">
        <v>0</v>
      </c>
      <c r="S15" t="b">
        <v>1</v>
      </c>
      <c r="T15" t="b">
        <v>1</v>
      </c>
      <c r="U15" t="s">
        <v>68</v>
      </c>
      <c r="V15" t="b">
        <v>0</v>
      </c>
      <c r="W15" t="b">
        <v>0</v>
      </c>
      <c r="X15">
        <v>11423</v>
      </c>
      <c r="Y15">
        <v>0</v>
      </c>
      <c r="Z15">
        <v>0</v>
      </c>
      <c r="AA15">
        <v>0.98</v>
      </c>
      <c r="AB15">
        <v>0.15</v>
      </c>
      <c r="AC15">
        <v>0.22</v>
      </c>
      <c r="AD15">
        <v>0.94</v>
      </c>
      <c r="AE15">
        <v>5</v>
      </c>
      <c r="AF15">
        <v>2</v>
      </c>
      <c r="AG15">
        <v>2.2599999999999998</v>
      </c>
      <c r="AH15">
        <v>194.08</v>
      </c>
      <c r="AI15" t="s">
        <v>210</v>
      </c>
      <c r="AJ15" t="s">
        <v>352</v>
      </c>
      <c r="AK15" t="s">
        <v>353</v>
      </c>
      <c r="AL15">
        <v>64823089</v>
      </c>
      <c r="AM15">
        <v>20952820</v>
      </c>
      <c r="AN15">
        <v>22674478</v>
      </c>
      <c r="AO15">
        <v>16890462</v>
      </c>
      <c r="AP15">
        <v>19220504</v>
      </c>
      <c r="AQ15">
        <v>2849755</v>
      </c>
      <c r="AR15">
        <v>2581442</v>
      </c>
      <c r="AS15">
        <v>3100813</v>
      </c>
      <c r="AT15">
        <v>2326874</v>
      </c>
      <c r="AU15">
        <v>2025304</v>
      </c>
      <c r="AV15">
        <v>3037252</v>
      </c>
      <c r="AW15">
        <v>22727842</v>
      </c>
      <c r="AX15">
        <v>15750940</v>
      </c>
      <c r="AY15">
        <v>19960554</v>
      </c>
      <c r="AZ15">
        <v>17032352</v>
      </c>
      <c r="BA15">
        <v>17147056</v>
      </c>
      <c r="BB15">
        <v>16855584</v>
      </c>
      <c r="BC15">
        <v>20124126</v>
      </c>
      <c r="BD15">
        <v>18570866</v>
      </c>
      <c r="BE15">
        <v>16244848.052185901</v>
      </c>
      <c r="BF15">
        <v>14181750.263451699</v>
      </c>
      <c r="BG15">
        <v>4.291708861</v>
      </c>
    </row>
    <row r="16" spans="1:59" x14ac:dyDescent="0.2">
      <c r="A16" s="4" t="s">
        <v>202</v>
      </c>
      <c r="B16">
        <v>12023</v>
      </c>
      <c r="C16">
        <v>2.6179999999999999</v>
      </c>
      <c r="D16">
        <v>482.36007999999998</v>
      </c>
      <c r="E16" t="s">
        <v>356</v>
      </c>
      <c r="F16" t="s">
        <v>356</v>
      </c>
      <c r="G16" t="s">
        <v>222</v>
      </c>
      <c r="H16" t="s">
        <v>63</v>
      </c>
      <c r="I16">
        <v>1</v>
      </c>
      <c r="J16" t="b">
        <v>1</v>
      </c>
      <c r="K16">
        <v>6.617</v>
      </c>
      <c r="L16">
        <v>482.3605</v>
      </c>
      <c r="M16" t="s">
        <v>357</v>
      </c>
      <c r="N16" t="s">
        <v>342</v>
      </c>
      <c r="O16" t="s">
        <v>358</v>
      </c>
      <c r="P16" t="s">
        <v>359</v>
      </c>
      <c r="Q16">
        <v>410</v>
      </c>
      <c r="R16" t="b">
        <v>0</v>
      </c>
      <c r="S16" t="b">
        <v>1</v>
      </c>
      <c r="T16" t="b">
        <v>1</v>
      </c>
      <c r="U16" t="s">
        <v>68</v>
      </c>
      <c r="V16" t="b">
        <v>0</v>
      </c>
      <c r="W16" t="b">
        <v>0</v>
      </c>
      <c r="X16">
        <v>12023</v>
      </c>
      <c r="Y16">
        <v>0</v>
      </c>
      <c r="Z16">
        <v>0</v>
      </c>
      <c r="AA16">
        <v>1</v>
      </c>
      <c r="AB16">
        <v>0.12</v>
      </c>
      <c r="AC16">
        <v>0.15</v>
      </c>
      <c r="AD16">
        <v>0.93</v>
      </c>
      <c r="AE16">
        <v>5</v>
      </c>
      <c r="AF16">
        <v>2</v>
      </c>
      <c r="AG16">
        <v>2.2400000000000002</v>
      </c>
      <c r="AH16">
        <v>580.47</v>
      </c>
      <c r="AI16" t="s">
        <v>210</v>
      </c>
      <c r="AJ16" t="s">
        <v>360</v>
      </c>
      <c r="AK16" t="s">
        <v>361</v>
      </c>
      <c r="AL16">
        <v>471428812</v>
      </c>
      <c r="AM16">
        <v>84328368</v>
      </c>
      <c r="AN16">
        <v>97209624</v>
      </c>
      <c r="AO16">
        <v>72032856</v>
      </c>
      <c r="AP16">
        <v>80748456</v>
      </c>
      <c r="AQ16">
        <v>17421563</v>
      </c>
      <c r="AR16">
        <v>14743206</v>
      </c>
      <c r="AS16">
        <v>16534082</v>
      </c>
      <c r="AT16">
        <v>13986314</v>
      </c>
      <c r="AU16">
        <v>12749981</v>
      </c>
      <c r="AV16">
        <v>15967713</v>
      </c>
      <c r="AW16">
        <v>92596355</v>
      </c>
      <c r="AX16">
        <v>66790112</v>
      </c>
      <c r="AY16">
        <v>83568216</v>
      </c>
      <c r="AZ16">
        <v>69177896</v>
      </c>
      <c r="BA16">
        <v>72025240</v>
      </c>
      <c r="BB16">
        <v>71653808</v>
      </c>
      <c r="BC16">
        <v>91160048</v>
      </c>
      <c r="BD16">
        <v>76573832</v>
      </c>
      <c r="BE16">
        <v>80036656.921770498</v>
      </c>
      <c r="BF16">
        <v>99864054.711050197</v>
      </c>
      <c r="BG16">
        <v>0.87071806299999999</v>
      </c>
    </row>
    <row r="17" spans="1:59" x14ac:dyDescent="0.2">
      <c r="A17" s="4" t="s">
        <v>202</v>
      </c>
      <c r="B17">
        <v>15047</v>
      </c>
      <c r="C17">
        <v>6.8319999999999999</v>
      </c>
      <c r="D17">
        <v>538.41985999999997</v>
      </c>
      <c r="E17" t="s">
        <v>368</v>
      </c>
      <c r="F17" t="s">
        <v>369</v>
      </c>
      <c r="G17" t="s">
        <v>222</v>
      </c>
      <c r="H17" t="s">
        <v>63</v>
      </c>
      <c r="I17">
        <v>0.42</v>
      </c>
      <c r="J17" t="b">
        <v>1</v>
      </c>
      <c r="K17">
        <v>7.6429999999999998</v>
      </c>
      <c r="L17">
        <v>538.42309999999998</v>
      </c>
      <c r="M17" t="s">
        <v>370</v>
      </c>
      <c r="N17" t="s">
        <v>342</v>
      </c>
      <c r="O17" t="s">
        <v>371</v>
      </c>
      <c r="P17" t="s">
        <v>372</v>
      </c>
      <c r="Q17">
        <v>410</v>
      </c>
      <c r="R17" t="b">
        <v>0</v>
      </c>
      <c r="S17" t="b">
        <v>1</v>
      </c>
      <c r="T17" t="b">
        <v>1</v>
      </c>
      <c r="U17" t="s">
        <v>68</v>
      </c>
      <c r="V17" t="b">
        <v>0</v>
      </c>
      <c r="W17" t="b">
        <v>0</v>
      </c>
      <c r="X17">
        <v>15047</v>
      </c>
      <c r="Y17">
        <v>0</v>
      </c>
      <c r="Z17">
        <v>0</v>
      </c>
      <c r="AA17">
        <v>0.96</v>
      </c>
      <c r="AB17">
        <v>0.26</v>
      </c>
      <c r="AC17">
        <v>0.25</v>
      </c>
      <c r="AD17">
        <v>0.85</v>
      </c>
      <c r="AE17">
        <v>5</v>
      </c>
      <c r="AF17">
        <v>2</v>
      </c>
      <c r="AG17">
        <v>2.2400000000000002</v>
      </c>
      <c r="AH17">
        <v>7.89</v>
      </c>
      <c r="AI17" t="s">
        <v>210</v>
      </c>
      <c r="AJ17" t="s">
        <v>373</v>
      </c>
      <c r="AK17" t="s">
        <v>374</v>
      </c>
      <c r="AL17">
        <v>1231847</v>
      </c>
      <c r="AM17">
        <v>218017</v>
      </c>
      <c r="AN17">
        <v>289214</v>
      </c>
      <c r="AO17">
        <v>225230</v>
      </c>
      <c r="AP17">
        <v>297084</v>
      </c>
      <c r="AQ17">
        <v>18110</v>
      </c>
      <c r="AR17">
        <v>13251</v>
      </c>
      <c r="AS17">
        <v>16907</v>
      </c>
      <c r="AT17">
        <v>19476</v>
      </c>
      <c r="AU17">
        <v>4545</v>
      </c>
      <c r="AV17">
        <v>8397</v>
      </c>
      <c r="AW17">
        <v>135750</v>
      </c>
      <c r="AX17">
        <v>150971</v>
      </c>
      <c r="AY17">
        <v>266582</v>
      </c>
      <c r="AZ17">
        <v>130423</v>
      </c>
      <c r="BA17">
        <v>124396</v>
      </c>
      <c r="BB17">
        <v>148804</v>
      </c>
      <c r="BC17">
        <v>174251</v>
      </c>
      <c r="BD17">
        <v>147289</v>
      </c>
      <c r="BE17">
        <v>190554.98488483499</v>
      </c>
      <c r="BF17">
        <v>270588.72501324798</v>
      </c>
      <c r="BG17">
        <v>6.0175724260000001</v>
      </c>
    </row>
    <row r="18" spans="1:59" x14ac:dyDescent="0.2">
      <c r="A18" s="4" t="s">
        <v>59</v>
      </c>
      <c r="B18">
        <v>20152</v>
      </c>
      <c r="C18">
        <v>11.456</v>
      </c>
      <c r="D18">
        <v>863.56641000000002</v>
      </c>
      <c r="E18" t="s">
        <v>94</v>
      </c>
      <c r="F18" t="s">
        <v>95</v>
      </c>
      <c r="G18" t="s">
        <v>62</v>
      </c>
      <c r="H18" t="s">
        <v>63</v>
      </c>
      <c r="I18">
        <v>0.85</v>
      </c>
      <c r="J18" t="b">
        <v>1</v>
      </c>
      <c r="K18">
        <v>9.1470000000000002</v>
      </c>
      <c r="L18">
        <v>863.56548999999995</v>
      </c>
      <c r="M18" t="s">
        <v>96</v>
      </c>
      <c r="N18" t="s">
        <v>89</v>
      </c>
      <c r="O18" t="s">
        <v>97</v>
      </c>
      <c r="P18" t="s">
        <v>98</v>
      </c>
      <c r="Q18">
        <v>410</v>
      </c>
      <c r="R18" t="b">
        <v>0</v>
      </c>
      <c r="S18" t="b">
        <v>1</v>
      </c>
      <c r="T18" t="b">
        <v>1</v>
      </c>
      <c r="U18" t="s">
        <v>68</v>
      </c>
      <c r="V18" t="b">
        <v>0</v>
      </c>
      <c r="W18" t="b">
        <v>0</v>
      </c>
      <c r="X18">
        <v>20152</v>
      </c>
      <c r="Y18">
        <v>0</v>
      </c>
      <c r="Z18">
        <v>0</v>
      </c>
      <c r="AA18">
        <v>1</v>
      </c>
      <c r="AB18">
        <v>0.16</v>
      </c>
      <c r="AC18">
        <v>0.36</v>
      </c>
      <c r="AD18">
        <v>0.81</v>
      </c>
      <c r="AE18">
        <v>9</v>
      </c>
      <c r="AF18">
        <v>2</v>
      </c>
      <c r="AG18">
        <v>2.25</v>
      </c>
      <c r="AH18">
        <v>8225.18</v>
      </c>
      <c r="AI18" t="s">
        <v>69</v>
      </c>
      <c r="AJ18" t="s">
        <v>99</v>
      </c>
      <c r="AK18" t="s">
        <v>100</v>
      </c>
      <c r="AL18">
        <v>1255230</v>
      </c>
      <c r="AM18">
        <v>376363</v>
      </c>
      <c r="AN18">
        <v>263990</v>
      </c>
      <c r="AO18">
        <v>181449</v>
      </c>
      <c r="AP18">
        <v>311357</v>
      </c>
      <c r="AQ18">
        <v>18837660</v>
      </c>
      <c r="AR18">
        <v>2454017</v>
      </c>
      <c r="AS18">
        <v>3290678</v>
      </c>
      <c r="AT18">
        <v>10124352</v>
      </c>
      <c r="AU18">
        <v>1971695</v>
      </c>
      <c r="AV18">
        <v>3325237</v>
      </c>
      <c r="AW18">
        <v>366791</v>
      </c>
      <c r="AX18">
        <v>262288</v>
      </c>
      <c r="AY18">
        <v>300209</v>
      </c>
      <c r="AZ18">
        <v>185575</v>
      </c>
      <c r="BA18">
        <v>360693</v>
      </c>
      <c r="BB18">
        <v>342673</v>
      </c>
      <c r="BC18">
        <v>270192</v>
      </c>
      <c r="BD18">
        <v>487511</v>
      </c>
      <c r="BE18">
        <v>2310377.8289474398</v>
      </c>
      <c r="BF18">
        <v>4511611.1328679202</v>
      </c>
      <c r="BG18">
        <v>1.065350585</v>
      </c>
    </row>
    <row r="19" spans="1:59" x14ac:dyDescent="0.2">
      <c r="A19" s="4" t="s">
        <v>59</v>
      </c>
      <c r="B19">
        <v>16126</v>
      </c>
      <c r="C19">
        <v>12.262</v>
      </c>
      <c r="D19">
        <v>726.54596000000004</v>
      </c>
      <c r="E19" t="s">
        <v>167</v>
      </c>
      <c r="F19" t="s">
        <v>168</v>
      </c>
      <c r="G19" t="s">
        <v>62</v>
      </c>
      <c r="H19" t="s">
        <v>63</v>
      </c>
      <c r="I19">
        <v>0.65</v>
      </c>
      <c r="J19" t="b">
        <v>1</v>
      </c>
      <c r="K19">
        <v>10.715999999999999</v>
      </c>
      <c r="L19">
        <v>726.54431</v>
      </c>
      <c r="M19" t="s">
        <v>169</v>
      </c>
      <c r="N19" t="s">
        <v>149</v>
      </c>
      <c r="O19" t="s">
        <v>170</v>
      </c>
      <c r="P19" t="s">
        <v>171</v>
      </c>
      <c r="Q19">
        <v>410</v>
      </c>
      <c r="R19" t="b">
        <v>0</v>
      </c>
      <c r="S19" t="b">
        <v>1</v>
      </c>
      <c r="T19" t="b">
        <v>1</v>
      </c>
      <c r="U19" t="s">
        <v>68</v>
      </c>
      <c r="V19" t="b">
        <v>0</v>
      </c>
      <c r="W19" t="b">
        <v>0</v>
      </c>
      <c r="X19">
        <v>16126</v>
      </c>
      <c r="Y19">
        <v>0</v>
      </c>
      <c r="Z19">
        <v>0</v>
      </c>
      <c r="AA19">
        <v>0.99</v>
      </c>
      <c r="AB19">
        <v>0.55000000000000004</v>
      </c>
      <c r="AC19">
        <v>0.54</v>
      </c>
      <c r="AD19">
        <v>0.77</v>
      </c>
      <c r="AE19">
        <v>3</v>
      </c>
      <c r="AF19">
        <v>2</v>
      </c>
      <c r="AG19">
        <v>2.35</v>
      </c>
      <c r="AH19">
        <v>26108.63</v>
      </c>
      <c r="AI19" t="s">
        <v>69</v>
      </c>
      <c r="AJ19" t="s">
        <v>172</v>
      </c>
      <c r="AK19" t="s">
        <v>173</v>
      </c>
      <c r="AL19">
        <v>4529986</v>
      </c>
      <c r="AM19">
        <v>2034064</v>
      </c>
      <c r="AN19">
        <v>1216841</v>
      </c>
      <c r="AO19">
        <v>173440</v>
      </c>
      <c r="AP19">
        <v>566886</v>
      </c>
      <c r="AQ19">
        <v>819655907</v>
      </c>
      <c r="AR19">
        <v>624738345</v>
      </c>
      <c r="AS19">
        <v>648404032</v>
      </c>
      <c r="AT19">
        <v>589771604</v>
      </c>
      <c r="AU19">
        <v>353751661</v>
      </c>
      <c r="AV19">
        <v>697457162</v>
      </c>
      <c r="AW19">
        <v>3421126</v>
      </c>
      <c r="AX19">
        <v>960273</v>
      </c>
      <c r="AY19">
        <v>537232</v>
      </c>
      <c r="AZ19">
        <v>587929</v>
      </c>
      <c r="BA19">
        <v>432749</v>
      </c>
      <c r="BB19">
        <v>1552096</v>
      </c>
      <c r="BC19">
        <v>762204</v>
      </c>
      <c r="BD19">
        <v>5857499</v>
      </c>
      <c r="BE19">
        <v>188052881.86599299</v>
      </c>
      <c r="BF19">
        <v>302167605.17976099</v>
      </c>
      <c r="BG19">
        <v>2.271024599</v>
      </c>
    </row>
    <row r="20" spans="1:59" x14ac:dyDescent="0.2">
      <c r="A20" s="4" t="s">
        <v>59</v>
      </c>
      <c r="B20">
        <v>16030</v>
      </c>
      <c r="C20">
        <v>10.52</v>
      </c>
      <c r="D20">
        <v>722.51440000000002</v>
      </c>
      <c r="E20" t="s">
        <v>174</v>
      </c>
      <c r="F20" t="s">
        <v>175</v>
      </c>
      <c r="G20" t="s">
        <v>62</v>
      </c>
      <c r="H20" t="s">
        <v>63</v>
      </c>
      <c r="I20">
        <v>0.95</v>
      </c>
      <c r="J20" t="b">
        <v>1</v>
      </c>
      <c r="K20">
        <v>9.8409999999999993</v>
      </c>
      <c r="L20">
        <v>722.51300000000003</v>
      </c>
      <c r="M20" t="s">
        <v>176</v>
      </c>
      <c r="N20" t="s">
        <v>149</v>
      </c>
      <c r="O20" t="s">
        <v>177</v>
      </c>
      <c r="P20" t="s">
        <v>178</v>
      </c>
      <c r="Q20">
        <v>410</v>
      </c>
      <c r="R20" t="b">
        <v>0</v>
      </c>
      <c r="S20" t="b">
        <v>1</v>
      </c>
      <c r="T20" t="b">
        <v>1</v>
      </c>
      <c r="U20" t="s">
        <v>68</v>
      </c>
      <c r="V20" t="b">
        <v>0</v>
      </c>
      <c r="W20" t="b">
        <v>0</v>
      </c>
      <c r="X20">
        <v>16030</v>
      </c>
      <c r="Y20">
        <v>0</v>
      </c>
      <c r="Z20">
        <v>0</v>
      </c>
      <c r="AA20">
        <v>0.99</v>
      </c>
      <c r="AB20">
        <v>0.14000000000000001</v>
      </c>
      <c r="AC20">
        <v>0.21</v>
      </c>
      <c r="AD20">
        <v>0.5</v>
      </c>
      <c r="AE20">
        <v>3</v>
      </c>
      <c r="AF20">
        <v>2</v>
      </c>
      <c r="AG20">
        <v>2.0699999999999998</v>
      </c>
      <c r="AH20">
        <v>12397.21</v>
      </c>
      <c r="AI20" t="s">
        <v>69</v>
      </c>
      <c r="AJ20" t="s">
        <v>179</v>
      </c>
      <c r="AK20" t="s">
        <v>180</v>
      </c>
      <c r="AL20">
        <v>1077156</v>
      </c>
      <c r="AM20">
        <v>181666</v>
      </c>
      <c r="AN20">
        <v>104760</v>
      </c>
      <c r="AO20">
        <v>727409</v>
      </c>
      <c r="AP20">
        <v>401375</v>
      </c>
      <c r="AQ20">
        <v>199355981</v>
      </c>
      <c r="AR20">
        <v>152002163</v>
      </c>
      <c r="AS20">
        <v>144904817</v>
      </c>
      <c r="AT20">
        <v>129502102</v>
      </c>
      <c r="AU20">
        <v>33231013</v>
      </c>
      <c r="AV20">
        <v>157372519</v>
      </c>
      <c r="AW20">
        <v>248048</v>
      </c>
      <c r="AX20">
        <v>173591</v>
      </c>
      <c r="AY20">
        <v>728794</v>
      </c>
      <c r="AZ20">
        <v>424582</v>
      </c>
      <c r="BA20">
        <v>493531</v>
      </c>
      <c r="BB20">
        <v>318621</v>
      </c>
      <c r="BC20">
        <v>312686</v>
      </c>
      <c r="BD20">
        <v>390910</v>
      </c>
      <c r="BE20">
        <v>41145218.481477402</v>
      </c>
      <c r="BF20">
        <v>69823723.837414905</v>
      </c>
      <c r="BG20">
        <v>1.9376813980000001</v>
      </c>
    </row>
    <row r="21" spans="1:59" x14ac:dyDescent="0.2">
      <c r="A21" s="4" t="s">
        <v>59</v>
      </c>
      <c r="B21">
        <v>17411</v>
      </c>
      <c r="C21">
        <v>14.132999999999999</v>
      </c>
      <c r="D21">
        <v>754.57758000000001</v>
      </c>
      <c r="E21" t="s">
        <v>181</v>
      </c>
      <c r="F21" t="s">
        <v>182</v>
      </c>
      <c r="G21" t="s">
        <v>62</v>
      </c>
      <c r="H21" t="s">
        <v>63</v>
      </c>
      <c r="I21">
        <v>0.5</v>
      </c>
      <c r="J21" t="b">
        <v>1</v>
      </c>
      <c r="K21">
        <v>11.852</v>
      </c>
      <c r="L21">
        <v>754.57561999999996</v>
      </c>
      <c r="M21" t="s">
        <v>183</v>
      </c>
      <c r="N21" t="s">
        <v>149</v>
      </c>
      <c r="O21" t="s">
        <v>184</v>
      </c>
      <c r="P21" t="s">
        <v>185</v>
      </c>
      <c r="Q21">
        <v>410</v>
      </c>
      <c r="R21" t="b">
        <v>0</v>
      </c>
      <c r="S21" t="b">
        <v>1</v>
      </c>
      <c r="T21" t="b">
        <v>1</v>
      </c>
      <c r="U21" t="s">
        <v>68</v>
      </c>
      <c r="V21" t="b">
        <v>0</v>
      </c>
      <c r="W21" t="b">
        <v>0</v>
      </c>
      <c r="X21">
        <v>17411</v>
      </c>
      <c r="Y21">
        <v>0</v>
      </c>
      <c r="Z21">
        <v>0</v>
      </c>
      <c r="AA21">
        <v>0.99</v>
      </c>
      <c r="AB21">
        <v>0.46</v>
      </c>
      <c r="AC21">
        <v>0.41</v>
      </c>
      <c r="AD21">
        <v>0.75</v>
      </c>
      <c r="AE21">
        <v>3</v>
      </c>
      <c r="AF21">
        <v>2</v>
      </c>
      <c r="AG21">
        <v>2.29</v>
      </c>
      <c r="AH21">
        <v>41.13</v>
      </c>
      <c r="AI21" t="s">
        <v>69</v>
      </c>
      <c r="AJ21" t="s">
        <v>186</v>
      </c>
      <c r="AK21" t="s">
        <v>187</v>
      </c>
      <c r="AL21">
        <v>2136109</v>
      </c>
      <c r="AM21">
        <v>853095</v>
      </c>
      <c r="AN21">
        <v>506742</v>
      </c>
      <c r="AO21">
        <v>9491</v>
      </c>
      <c r="AP21">
        <v>149602</v>
      </c>
      <c r="AQ21">
        <v>35826768</v>
      </c>
      <c r="AR21">
        <v>25865714</v>
      </c>
      <c r="AS21">
        <v>27930058</v>
      </c>
      <c r="AT21">
        <v>24842370</v>
      </c>
      <c r="AU21">
        <v>15724300</v>
      </c>
      <c r="AV21">
        <v>29866510</v>
      </c>
      <c r="AW21">
        <v>1364207</v>
      </c>
      <c r="AX21">
        <v>302999</v>
      </c>
      <c r="AY21">
        <v>119030</v>
      </c>
      <c r="AZ21">
        <v>122137</v>
      </c>
      <c r="BA21">
        <v>84248</v>
      </c>
      <c r="BB21">
        <v>614035</v>
      </c>
      <c r="BC21">
        <v>258715</v>
      </c>
      <c r="BD21">
        <v>2697337</v>
      </c>
      <c r="BE21">
        <v>8577687.2499138899</v>
      </c>
      <c r="BF21">
        <v>12645011.296670699</v>
      </c>
      <c r="BG21">
        <v>2.5974865180000002</v>
      </c>
    </row>
    <row r="22" spans="1:59" x14ac:dyDescent="0.2">
      <c r="A22" s="4" t="s">
        <v>59</v>
      </c>
      <c r="B22">
        <v>17321</v>
      </c>
      <c r="C22">
        <v>12.279</v>
      </c>
      <c r="D22">
        <v>750.54571999999996</v>
      </c>
      <c r="E22" t="s">
        <v>188</v>
      </c>
      <c r="F22" t="s">
        <v>189</v>
      </c>
      <c r="G22" t="s">
        <v>62</v>
      </c>
      <c r="H22" t="s">
        <v>63</v>
      </c>
      <c r="I22">
        <v>1</v>
      </c>
      <c r="J22" t="b">
        <v>1</v>
      </c>
      <c r="K22">
        <v>10.622</v>
      </c>
      <c r="L22">
        <v>750.54431</v>
      </c>
      <c r="M22" t="s">
        <v>190</v>
      </c>
      <c r="N22" t="s">
        <v>149</v>
      </c>
      <c r="O22" t="s">
        <v>191</v>
      </c>
      <c r="P22" t="s">
        <v>192</v>
      </c>
      <c r="Q22">
        <v>410</v>
      </c>
      <c r="R22" t="b">
        <v>0</v>
      </c>
      <c r="S22" t="b">
        <v>1</v>
      </c>
      <c r="T22" t="b">
        <v>1</v>
      </c>
      <c r="U22" t="s">
        <v>68</v>
      </c>
      <c r="V22" t="b">
        <v>0</v>
      </c>
      <c r="W22" t="b">
        <v>0</v>
      </c>
      <c r="X22">
        <v>17321</v>
      </c>
      <c r="Y22">
        <v>0</v>
      </c>
      <c r="Z22">
        <v>0</v>
      </c>
      <c r="AA22">
        <v>1</v>
      </c>
      <c r="AB22">
        <v>0.14000000000000001</v>
      </c>
      <c r="AC22">
        <v>0.15</v>
      </c>
      <c r="AD22">
        <v>0.88</v>
      </c>
      <c r="AE22">
        <v>3</v>
      </c>
      <c r="AF22">
        <v>2</v>
      </c>
      <c r="AG22">
        <v>2.2200000000000002</v>
      </c>
      <c r="AH22">
        <v>14285.84</v>
      </c>
      <c r="AI22" t="s">
        <v>69</v>
      </c>
      <c r="AJ22" t="s">
        <v>193</v>
      </c>
      <c r="AK22" t="s">
        <v>194</v>
      </c>
      <c r="AL22">
        <v>1937128</v>
      </c>
      <c r="AM22">
        <v>656528</v>
      </c>
      <c r="AN22">
        <v>220224</v>
      </c>
      <c r="AO22">
        <v>697240</v>
      </c>
      <c r="AP22">
        <v>715078</v>
      </c>
      <c r="AQ22">
        <v>302486408</v>
      </c>
      <c r="AR22">
        <v>255613556</v>
      </c>
      <c r="AS22">
        <v>253566794</v>
      </c>
      <c r="AT22">
        <v>234188106</v>
      </c>
      <c r="AU22">
        <v>119639890</v>
      </c>
      <c r="AV22">
        <v>281836553</v>
      </c>
      <c r="AW22">
        <v>504830</v>
      </c>
      <c r="AX22">
        <v>509080</v>
      </c>
      <c r="AY22">
        <v>715958</v>
      </c>
      <c r="AZ22">
        <v>553773</v>
      </c>
      <c r="BA22">
        <v>616770</v>
      </c>
      <c r="BB22">
        <v>813103</v>
      </c>
      <c r="BC22">
        <v>684958</v>
      </c>
      <c r="BD22">
        <v>800693</v>
      </c>
      <c r="BE22">
        <v>72939724.600857094</v>
      </c>
      <c r="BF22">
        <v>117726455.718309</v>
      </c>
      <c r="BG22">
        <v>1.8786365860000001</v>
      </c>
    </row>
    <row r="23" spans="1:59" x14ac:dyDescent="0.2">
      <c r="A23" s="4" t="s">
        <v>59</v>
      </c>
      <c r="B23">
        <v>18004</v>
      </c>
      <c r="C23">
        <v>13.625999999999999</v>
      </c>
      <c r="D23">
        <v>778.57727</v>
      </c>
      <c r="E23" t="s">
        <v>195</v>
      </c>
      <c r="F23" t="s">
        <v>196</v>
      </c>
      <c r="G23" t="s">
        <v>62</v>
      </c>
      <c r="H23" t="s">
        <v>63</v>
      </c>
      <c r="I23">
        <v>0.55000000000000004</v>
      </c>
      <c r="J23" t="b">
        <v>1</v>
      </c>
      <c r="K23">
        <v>11.539</v>
      </c>
      <c r="L23">
        <v>778.57561999999996</v>
      </c>
      <c r="M23" t="s">
        <v>197</v>
      </c>
      <c r="N23" t="s">
        <v>149</v>
      </c>
      <c r="O23" t="s">
        <v>198</v>
      </c>
      <c r="P23" t="s">
        <v>199</v>
      </c>
      <c r="Q23">
        <v>410</v>
      </c>
      <c r="R23" t="b">
        <v>0</v>
      </c>
      <c r="S23" t="b">
        <v>1</v>
      </c>
      <c r="T23" t="b">
        <v>1</v>
      </c>
      <c r="U23" t="s">
        <v>68</v>
      </c>
      <c r="V23" t="b">
        <v>0</v>
      </c>
      <c r="W23" t="b">
        <v>0</v>
      </c>
      <c r="X23">
        <v>18004</v>
      </c>
      <c r="Y23">
        <v>0</v>
      </c>
      <c r="Z23">
        <v>0</v>
      </c>
      <c r="AA23">
        <v>1</v>
      </c>
      <c r="AB23">
        <v>0.13</v>
      </c>
      <c r="AC23">
        <v>0.19</v>
      </c>
      <c r="AD23">
        <v>0.49</v>
      </c>
      <c r="AE23">
        <v>3</v>
      </c>
      <c r="AF23">
        <v>2</v>
      </c>
      <c r="AG23">
        <v>2.0699999999999998</v>
      </c>
      <c r="AH23">
        <v>161.62</v>
      </c>
      <c r="AI23" t="s">
        <v>69</v>
      </c>
      <c r="AJ23" t="s">
        <v>200</v>
      </c>
      <c r="AK23" t="s">
        <v>201</v>
      </c>
      <c r="AL23">
        <v>738873</v>
      </c>
      <c r="AM23">
        <v>347939</v>
      </c>
      <c r="AN23">
        <v>18877</v>
      </c>
      <c r="AO23">
        <v>0</v>
      </c>
      <c r="AP23">
        <v>17198</v>
      </c>
      <c r="AQ23">
        <v>35672249</v>
      </c>
      <c r="AR23">
        <v>33768542</v>
      </c>
      <c r="AS23">
        <v>34018336</v>
      </c>
      <c r="AT23">
        <v>33199169</v>
      </c>
      <c r="AU23">
        <v>15106358</v>
      </c>
      <c r="AV23">
        <v>37886614</v>
      </c>
      <c r="AW23">
        <v>224418</v>
      </c>
      <c r="AX23">
        <v>108561</v>
      </c>
      <c r="AY23">
        <v>3878</v>
      </c>
      <c r="AZ23">
        <v>3412</v>
      </c>
      <c r="BA23">
        <v>7086</v>
      </c>
      <c r="BB23">
        <v>209332</v>
      </c>
      <c r="BC23">
        <v>38378</v>
      </c>
      <c r="BD23">
        <v>380314</v>
      </c>
      <c r="BE23">
        <v>9626108.3947508205</v>
      </c>
      <c r="BF23">
        <v>15362515.625312399</v>
      </c>
      <c r="BG23">
        <v>2.1192546459999999</v>
      </c>
    </row>
    <row r="24" spans="1:59" x14ac:dyDescent="0.2">
      <c r="A24" s="4" t="s">
        <v>59</v>
      </c>
      <c r="B24">
        <v>9659</v>
      </c>
      <c r="C24">
        <v>1.6419999999999999</v>
      </c>
      <c r="D24">
        <v>476.27758999999998</v>
      </c>
      <c r="E24" t="s">
        <v>283</v>
      </c>
      <c r="F24" t="s">
        <v>283</v>
      </c>
      <c r="G24" t="s">
        <v>62</v>
      </c>
      <c r="H24" t="s">
        <v>63</v>
      </c>
      <c r="I24">
        <v>0.95</v>
      </c>
      <c r="J24" t="b">
        <v>1</v>
      </c>
      <c r="K24">
        <v>5.89</v>
      </c>
      <c r="L24">
        <v>476.27829000000003</v>
      </c>
      <c r="M24" t="s">
        <v>284</v>
      </c>
      <c r="N24" t="s">
        <v>259</v>
      </c>
      <c r="O24" t="s">
        <v>285</v>
      </c>
      <c r="P24" t="s">
        <v>286</v>
      </c>
      <c r="Q24">
        <v>410</v>
      </c>
      <c r="R24" t="b">
        <v>0</v>
      </c>
      <c r="S24" t="b">
        <v>1</v>
      </c>
      <c r="T24" t="b">
        <v>1</v>
      </c>
      <c r="U24" t="s">
        <v>68</v>
      </c>
      <c r="V24" t="b">
        <v>0</v>
      </c>
      <c r="W24" t="b">
        <v>0</v>
      </c>
      <c r="X24">
        <v>9659</v>
      </c>
      <c r="Y24">
        <v>0</v>
      </c>
      <c r="Z24">
        <v>0</v>
      </c>
      <c r="AA24">
        <v>1</v>
      </c>
      <c r="AB24">
        <v>0.9</v>
      </c>
      <c r="AC24">
        <v>0.93</v>
      </c>
      <c r="AD24">
        <v>0.93</v>
      </c>
      <c r="AE24">
        <v>5</v>
      </c>
      <c r="AF24">
        <v>2</v>
      </c>
      <c r="AG24">
        <v>2.57</v>
      </c>
      <c r="AH24">
        <v>1345.04</v>
      </c>
      <c r="AI24" t="s">
        <v>69</v>
      </c>
      <c r="AJ24" t="s">
        <v>287</v>
      </c>
      <c r="AK24" t="s">
        <v>288</v>
      </c>
      <c r="AL24">
        <v>201768845</v>
      </c>
      <c r="AM24">
        <v>53321472</v>
      </c>
      <c r="AN24">
        <v>64170380</v>
      </c>
      <c r="AO24">
        <v>33351702</v>
      </c>
      <c r="AP24">
        <v>47117812</v>
      </c>
      <c r="AQ24">
        <v>6304795</v>
      </c>
      <c r="AR24">
        <v>4240188</v>
      </c>
      <c r="AS24">
        <v>5061892</v>
      </c>
      <c r="AT24">
        <v>4673730</v>
      </c>
      <c r="AU24">
        <v>2035520</v>
      </c>
      <c r="AV24">
        <v>4832622</v>
      </c>
      <c r="AW24">
        <v>61307708</v>
      </c>
      <c r="AX24">
        <v>42069324</v>
      </c>
      <c r="AY24">
        <v>52945016</v>
      </c>
      <c r="AZ24">
        <v>45888632</v>
      </c>
      <c r="BA24">
        <v>48351304</v>
      </c>
      <c r="BB24">
        <v>44667812</v>
      </c>
      <c r="BC24">
        <v>68712224</v>
      </c>
      <c r="BD24">
        <v>49699620</v>
      </c>
      <c r="BE24">
        <v>51695217.261387303</v>
      </c>
      <c r="BF24">
        <v>54795339.026851602</v>
      </c>
      <c r="BG24">
        <v>1.4697289689999999</v>
      </c>
    </row>
    <row r="25" spans="1:59" x14ac:dyDescent="0.2">
      <c r="A25" s="4" t="s">
        <v>59</v>
      </c>
      <c r="B25">
        <v>10323</v>
      </c>
      <c r="C25">
        <v>1.534</v>
      </c>
      <c r="D25">
        <v>500.27868999999998</v>
      </c>
      <c r="E25" t="s">
        <v>307</v>
      </c>
      <c r="F25" t="s">
        <v>307</v>
      </c>
      <c r="G25" t="s">
        <v>62</v>
      </c>
      <c r="H25" t="s">
        <v>63</v>
      </c>
      <c r="I25">
        <v>1</v>
      </c>
      <c r="J25" t="b">
        <v>1</v>
      </c>
      <c r="K25">
        <v>5.8129999999999997</v>
      </c>
      <c r="L25">
        <v>500.27829000000003</v>
      </c>
      <c r="M25" t="s">
        <v>308</v>
      </c>
      <c r="N25" t="s">
        <v>259</v>
      </c>
      <c r="O25" t="s">
        <v>309</v>
      </c>
      <c r="P25" t="s">
        <v>310</v>
      </c>
      <c r="Q25">
        <v>410</v>
      </c>
      <c r="R25" t="b">
        <v>0</v>
      </c>
      <c r="S25" t="b">
        <v>1</v>
      </c>
      <c r="T25" t="b">
        <v>1</v>
      </c>
      <c r="U25" t="s">
        <v>68</v>
      </c>
      <c r="V25" t="b">
        <v>0</v>
      </c>
      <c r="W25" t="b">
        <v>0</v>
      </c>
      <c r="X25">
        <v>10323</v>
      </c>
      <c r="Y25">
        <v>0</v>
      </c>
      <c r="Z25">
        <v>0</v>
      </c>
      <c r="AA25">
        <v>1</v>
      </c>
      <c r="AB25">
        <v>0.82</v>
      </c>
      <c r="AC25">
        <v>0.88</v>
      </c>
      <c r="AD25">
        <v>0.95</v>
      </c>
      <c r="AE25">
        <v>5</v>
      </c>
      <c r="AF25">
        <v>2</v>
      </c>
      <c r="AG25">
        <v>2.56</v>
      </c>
      <c r="AH25">
        <v>230997</v>
      </c>
      <c r="AI25" t="s">
        <v>69</v>
      </c>
      <c r="AJ25" t="s">
        <v>311</v>
      </c>
      <c r="AK25" t="s">
        <v>312</v>
      </c>
      <c r="AL25">
        <v>70197515</v>
      </c>
      <c r="AM25">
        <v>18317640</v>
      </c>
      <c r="AN25">
        <v>22208338</v>
      </c>
      <c r="AO25">
        <v>13572099</v>
      </c>
      <c r="AP25">
        <v>18194132</v>
      </c>
      <c r="AQ25">
        <v>102646970</v>
      </c>
      <c r="AR25">
        <v>52931893</v>
      </c>
      <c r="AS25">
        <v>64285603</v>
      </c>
      <c r="AT25">
        <v>57163285</v>
      </c>
      <c r="AU25">
        <v>21577630</v>
      </c>
      <c r="AV25">
        <v>59207148</v>
      </c>
      <c r="AW25">
        <v>21200158</v>
      </c>
      <c r="AX25">
        <v>14653500</v>
      </c>
      <c r="AY25">
        <v>19094992</v>
      </c>
      <c r="AZ25">
        <v>16098459</v>
      </c>
      <c r="BA25">
        <v>17318256</v>
      </c>
      <c r="BB25">
        <v>15763516</v>
      </c>
      <c r="BC25">
        <v>23749298</v>
      </c>
      <c r="BD25">
        <v>17944284</v>
      </c>
      <c r="BE25">
        <v>35610298.046345197</v>
      </c>
      <c r="BF25">
        <v>25862453.959006801</v>
      </c>
      <c r="BG25">
        <v>0.79955498400000002</v>
      </c>
    </row>
    <row r="26" spans="1:59" x14ac:dyDescent="0.2">
      <c r="A26" s="4" t="s">
        <v>202</v>
      </c>
      <c r="B26">
        <v>26011</v>
      </c>
      <c r="C26">
        <v>13.695</v>
      </c>
      <c r="D26">
        <v>788.61510999999996</v>
      </c>
      <c r="E26" t="s">
        <v>220</v>
      </c>
      <c r="F26" t="s">
        <v>221</v>
      </c>
      <c r="G26" t="s">
        <v>222</v>
      </c>
      <c r="H26" t="s">
        <v>63</v>
      </c>
      <c r="I26">
        <v>0.68</v>
      </c>
      <c r="J26" t="b">
        <v>1</v>
      </c>
      <c r="K26">
        <v>10.628</v>
      </c>
      <c r="L26">
        <v>788.61639000000002</v>
      </c>
      <c r="M26" t="s">
        <v>223</v>
      </c>
      <c r="N26" t="s">
        <v>224</v>
      </c>
      <c r="O26" t="s">
        <v>225</v>
      </c>
      <c r="P26" t="s">
        <v>226</v>
      </c>
      <c r="Q26">
        <v>420</v>
      </c>
      <c r="R26" t="b">
        <v>0</v>
      </c>
      <c r="S26" t="b">
        <v>1</v>
      </c>
      <c r="T26" t="b">
        <v>1</v>
      </c>
      <c r="U26" t="s">
        <v>68</v>
      </c>
      <c r="V26" t="b">
        <v>0</v>
      </c>
      <c r="W26" t="b">
        <v>0</v>
      </c>
      <c r="X26">
        <v>26011</v>
      </c>
      <c r="Y26">
        <v>0</v>
      </c>
      <c r="Z26">
        <v>0</v>
      </c>
      <c r="AA26">
        <v>1</v>
      </c>
      <c r="AB26">
        <v>0.16</v>
      </c>
      <c r="AC26">
        <v>0.15</v>
      </c>
      <c r="AD26">
        <v>0.31</v>
      </c>
      <c r="AE26">
        <v>6</v>
      </c>
      <c r="AF26">
        <v>1</v>
      </c>
      <c r="AG26">
        <v>1.34</v>
      </c>
      <c r="AH26">
        <v>110.95</v>
      </c>
      <c r="AI26" t="s">
        <v>210</v>
      </c>
      <c r="AJ26" t="s">
        <v>227</v>
      </c>
      <c r="AK26" t="s">
        <v>228</v>
      </c>
      <c r="AL26">
        <v>67729704</v>
      </c>
      <c r="AM26">
        <v>22464666</v>
      </c>
      <c r="AN26">
        <v>11484641</v>
      </c>
      <c r="AO26">
        <v>7795439</v>
      </c>
      <c r="AP26">
        <v>12779278</v>
      </c>
      <c r="AQ26">
        <v>2262661120</v>
      </c>
      <c r="AR26">
        <v>1779556736</v>
      </c>
      <c r="AS26">
        <v>1895518464</v>
      </c>
      <c r="AT26">
        <v>1647105920</v>
      </c>
      <c r="AU26">
        <v>1876634112</v>
      </c>
      <c r="AV26">
        <v>1981337600</v>
      </c>
      <c r="AW26">
        <v>19207462</v>
      </c>
      <c r="AX26">
        <v>11159479</v>
      </c>
      <c r="AY26">
        <v>10208208</v>
      </c>
      <c r="AZ26">
        <v>7332449</v>
      </c>
      <c r="BA26">
        <v>10923350</v>
      </c>
      <c r="BB26">
        <v>12142987</v>
      </c>
      <c r="BC26">
        <v>11451807</v>
      </c>
      <c r="BD26">
        <v>29571084</v>
      </c>
      <c r="BE26">
        <v>614582342.42105305</v>
      </c>
      <c r="BF26">
        <v>908928369.19112396</v>
      </c>
      <c r="BG26">
        <v>1.6230958630000001</v>
      </c>
    </row>
    <row r="27" spans="1:59" x14ac:dyDescent="0.2">
      <c r="A27" s="4" t="s">
        <v>202</v>
      </c>
      <c r="B27">
        <v>24711</v>
      </c>
      <c r="C27">
        <v>11.629</v>
      </c>
      <c r="D27">
        <v>760.58429000000001</v>
      </c>
      <c r="E27" t="s">
        <v>236</v>
      </c>
      <c r="F27" t="s">
        <v>237</v>
      </c>
      <c r="G27" t="s">
        <v>222</v>
      </c>
      <c r="H27" t="s">
        <v>63</v>
      </c>
      <c r="I27">
        <v>0.68</v>
      </c>
      <c r="J27" t="b">
        <v>1</v>
      </c>
      <c r="K27">
        <v>9.6999999999999993</v>
      </c>
      <c r="L27">
        <v>760.58507999999995</v>
      </c>
      <c r="M27" t="s">
        <v>238</v>
      </c>
      <c r="N27" t="s">
        <v>224</v>
      </c>
      <c r="O27" t="s">
        <v>239</v>
      </c>
      <c r="P27" t="s">
        <v>240</v>
      </c>
      <c r="Q27">
        <v>530</v>
      </c>
      <c r="R27" t="b">
        <v>0</v>
      </c>
      <c r="S27" t="b">
        <v>1</v>
      </c>
      <c r="T27" t="b">
        <v>0</v>
      </c>
      <c r="U27" t="s">
        <v>68</v>
      </c>
      <c r="V27" t="b">
        <v>0</v>
      </c>
      <c r="W27" t="b">
        <v>0</v>
      </c>
      <c r="X27">
        <v>24711</v>
      </c>
      <c r="Y27">
        <v>0</v>
      </c>
      <c r="Z27">
        <v>0</v>
      </c>
      <c r="AA27">
        <v>1</v>
      </c>
      <c r="AB27">
        <v>0.02</v>
      </c>
      <c r="AC27">
        <v>0.01</v>
      </c>
      <c r="AD27">
        <v>0.34</v>
      </c>
      <c r="AE27">
        <v>6</v>
      </c>
      <c r="AF27">
        <v>0.33</v>
      </c>
      <c r="AG27">
        <v>0.87</v>
      </c>
      <c r="AH27">
        <v>484.28</v>
      </c>
      <c r="AI27" t="s">
        <v>210</v>
      </c>
      <c r="AJ27" t="s">
        <v>241</v>
      </c>
      <c r="AK27" t="s">
        <v>242</v>
      </c>
      <c r="AL27">
        <v>206772430</v>
      </c>
      <c r="AM27">
        <v>50746084</v>
      </c>
      <c r="AN27">
        <v>29885028</v>
      </c>
      <c r="AO27">
        <v>34711260</v>
      </c>
      <c r="AP27">
        <v>62190968</v>
      </c>
      <c r="AQ27">
        <v>74168090624</v>
      </c>
      <c r="AR27">
        <v>71973871616</v>
      </c>
      <c r="AS27">
        <v>72221630464</v>
      </c>
      <c r="AT27">
        <v>66977927168</v>
      </c>
      <c r="AU27">
        <v>65971605504</v>
      </c>
      <c r="AV27">
        <v>73042001920</v>
      </c>
      <c r="AW27">
        <v>54835980</v>
      </c>
      <c r="AX27">
        <v>43675776</v>
      </c>
      <c r="AY27">
        <v>50239939</v>
      </c>
      <c r="AZ27">
        <v>51091180</v>
      </c>
      <c r="BA27">
        <v>46163936</v>
      </c>
      <c r="BB27">
        <v>60178616</v>
      </c>
      <c r="BC27">
        <v>61567271</v>
      </c>
      <c r="BD27">
        <v>66787119</v>
      </c>
      <c r="BE27">
        <v>22377577520.1572</v>
      </c>
      <c r="BF27">
        <v>33793695240.851799</v>
      </c>
      <c r="BG27">
        <v>1.038674069</v>
      </c>
    </row>
    <row r="28" spans="1:59" x14ac:dyDescent="0.2">
      <c r="A28" s="2" t="s">
        <v>59</v>
      </c>
      <c r="B28">
        <v>18186</v>
      </c>
      <c r="C28">
        <v>10.377000000000001</v>
      </c>
      <c r="D28">
        <v>786.53021000000001</v>
      </c>
      <c r="E28" t="s">
        <v>72</v>
      </c>
      <c r="F28" t="s">
        <v>73</v>
      </c>
      <c r="G28" t="s">
        <v>62</v>
      </c>
      <c r="H28" t="s">
        <v>63</v>
      </c>
      <c r="I28">
        <v>0.2</v>
      </c>
      <c r="J28" t="b">
        <v>1</v>
      </c>
      <c r="K28">
        <v>8.5779999999999994</v>
      </c>
      <c r="L28">
        <v>786.52910999999995</v>
      </c>
      <c r="M28" t="s">
        <v>74</v>
      </c>
      <c r="N28" t="s">
        <v>65</v>
      </c>
      <c r="O28" t="s">
        <v>75</v>
      </c>
      <c r="P28" t="s">
        <v>76</v>
      </c>
      <c r="Q28">
        <v>410</v>
      </c>
      <c r="R28" t="b">
        <v>0</v>
      </c>
      <c r="S28" t="b">
        <v>1</v>
      </c>
      <c r="T28" t="b">
        <v>1</v>
      </c>
      <c r="U28" t="s">
        <v>68</v>
      </c>
      <c r="V28" t="b">
        <v>0</v>
      </c>
      <c r="W28" t="b">
        <v>0</v>
      </c>
      <c r="X28">
        <v>18186</v>
      </c>
      <c r="Y28">
        <v>0</v>
      </c>
      <c r="Z28">
        <v>0</v>
      </c>
      <c r="AA28">
        <v>1</v>
      </c>
      <c r="AB28">
        <v>0.13</v>
      </c>
      <c r="AC28">
        <v>0.26</v>
      </c>
      <c r="AD28">
        <v>0.55000000000000004</v>
      </c>
      <c r="AE28">
        <v>8</v>
      </c>
      <c r="AF28">
        <v>2</v>
      </c>
      <c r="AG28">
        <v>2.1</v>
      </c>
      <c r="AH28">
        <v>8.9700000000000006</v>
      </c>
      <c r="AI28" t="s">
        <v>69</v>
      </c>
      <c r="AJ28" t="s">
        <v>77</v>
      </c>
      <c r="AK28" t="s">
        <v>78</v>
      </c>
      <c r="AL28">
        <v>245407</v>
      </c>
      <c r="AM28">
        <v>11629</v>
      </c>
      <c r="AN28">
        <v>12487</v>
      </c>
      <c r="AO28">
        <v>98011</v>
      </c>
      <c r="AP28">
        <v>36845</v>
      </c>
      <c r="AQ28">
        <v>12024413</v>
      </c>
      <c r="AR28">
        <v>2660804</v>
      </c>
      <c r="AS28">
        <v>2019478</v>
      </c>
      <c r="AT28">
        <v>14760361</v>
      </c>
      <c r="AU28">
        <v>4002159</v>
      </c>
      <c r="AV28">
        <v>6606771</v>
      </c>
      <c r="AW28">
        <v>23550</v>
      </c>
      <c r="AX28">
        <v>72545</v>
      </c>
      <c r="AY28">
        <v>145433</v>
      </c>
      <c r="AZ28">
        <v>30643</v>
      </c>
      <c r="BA28">
        <v>127412</v>
      </c>
      <c r="BB28">
        <v>34119</v>
      </c>
      <c r="BC28">
        <v>41989</v>
      </c>
      <c r="BD28">
        <v>35666</v>
      </c>
      <c r="BE28" s="3">
        <v>2172660.7280000001</v>
      </c>
      <c r="BF28">
        <v>4225269.8629999999</v>
      </c>
      <c r="BG28">
        <v>1.398549635</v>
      </c>
    </row>
    <row r="29" spans="1:59" x14ac:dyDescent="0.2">
      <c r="A29" s="2" t="s">
        <v>59</v>
      </c>
      <c r="B29">
        <v>19380</v>
      </c>
      <c r="C29">
        <v>8.8339999999999996</v>
      </c>
      <c r="D29">
        <v>833.51886000000002</v>
      </c>
      <c r="E29" t="s">
        <v>86</v>
      </c>
      <c r="F29" t="s">
        <v>87</v>
      </c>
      <c r="G29" t="s">
        <v>62</v>
      </c>
      <c r="H29" t="s">
        <v>63</v>
      </c>
      <c r="I29">
        <v>0.65</v>
      </c>
      <c r="J29" t="b">
        <v>1</v>
      </c>
      <c r="K29">
        <v>8.1389999999999993</v>
      </c>
      <c r="L29">
        <v>833.51862000000006</v>
      </c>
      <c r="M29" t="s">
        <v>88</v>
      </c>
      <c r="N29" t="s">
        <v>89</v>
      </c>
      <c r="O29" t="s">
        <v>90</v>
      </c>
      <c r="P29" t="s">
        <v>91</v>
      </c>
      <c r="Q29">
        <v>410</v>
      </c>
      <c r="R29" t="b">
        <v>0</v>
      </c>
      <c r="S29" t="b">
        <v>1</v>
      </c>
      <c r="T29" t="b">
        <v>1</v>
      </c>
      <c r="U29" t="s">
        <v>68</v>
      </c>
      <c r="V29" t="b">
        <v>0</v>
      </c>
      <c r="W29" t="b">
        <v>0</v>
      </c>
      <c r="X29">
        <v>19380</v>
      </c>
      <c r="Y29">
        <v>0</v>
      </c>
      <c r="Z29">
        <v>0</v>
      </c>
      <c r="AA29">
        <v>0.98</v>
      </c>
      <c r="AB29">
        <v>0.09</v>
      </c>
      <c r="AC29">
        <v>0.19</v>
      </c>
      <c r="AD29">
        <v>0.76</v>
      </c>
      <c r="AE29">
        <v>9</v>
      </c>
      <c r="AF29">
        <v>2</v>
      </c>
      <c r="AG29">
        <v>2.16</v>
      </c>
      <c r="AH29">
        <v>10039.83</v>
      </c>
      <c r="AI29" t="s">
        <v>69</v>
      </c>
      <c r="AJ29" t="s">
        <v>92</v>
      </c>
      <c r="AK29" t="s">
        <v>93</v>
      </c>
      <c r="AL29">
        <v>466948</v>
      </c>
      <c r="AM29">
        <v>59735</v>
      </c>
      <c r="AN29">
        <v>49387</v>
      </c>
      <c r="AO29">
        <v>128951</v>
      </c>
      <c r="AP29">
        <v>67604</v>
      </c>
      <c r="AQ29">
        <v>5377051</v>
      </c>
      <c r="AR29">
        <v>525104</v>
      </c>
      <c r="AS29">
        <v>674602</v>
      </c>
      <c r="AT29">
        <v>2092755</v>
      </c>
      <c r="AU29">
        <v>241507</v>
      </c>
      <c r="AV29">
        <v>617791</v>
      </c>
      <c r="AW29">
        <v>120581</v>
      </c>
      <c r="AX29">
        <v>108066</v>
      </c>
      <c r="AY29">
        <v>142566</v>
      </c>
      <c r="AZ29">
        <v>62337</v>
      </c>
      <c r="BA29">
        <v>103053</v>
      </c>
      <c r="BB29">
        <v>69251</v>
      </c>
      <c r="BC29">
        <v>97910</v>
      </c>
      <c r="BD29">
        <v>113779</v>
      </c>
      <c r="BE29" s="3">
        <v>583167.49199999997</v>
      </c>
      <c r="BF29">
        <v>1220254.331</v>
      </c>
      <c r="BG29">
        <v>0.28793597900000001</v>
      </c>
    </row>
    <row r="30" spans="1:59" x14ac:dyDescent="0.2">
      <c r="A30" s="2" t="s">
        <v>59</v>
      </c>
      <c r="B30">
        <v>20105</v>
      </c>
      <c r="C30">
        <v>10.17</v>
      </c>
      <c r="D30">
        <v>861.55133000000001</v>
      </c>
      <c r="E30" t="s">
        <v>101</v>
      </c>
      <c r="F30" t="s">
        <v>102</v>
      </c>
      <c r="G30" t="s">
        <v>62</v>
      </c>
      <c r="H30" t="s">
        <v>63</v>
      </c>
      <c r="I30">
        <v>0.7</v>
      </c>
      <c r="J30" t="b">
        <v>1</v>
      </c>
      <c r="K30">
        <v>8.5579999999999998</v>
      </c>
      <c r="L30">
        <v>861.54993000000002</v>
      </c>
      <c r="M30" t="s">
        <v>103</v>
      </c>
      <c r="N30" t="s">
        <v>89</v>
      </c>
      <c r="O30" t="s">
        <v>104</v>
      </c>
      <c r="P30" t="s">
        <v>105</v>
      </c>
      <c r="Q30">
        <v>410</v>
      </c>
      <c r="R30" t="b">
        <v>0</v>
      </c>
      <c r="S30" t="b">
        <v>1</v>
      </c>
      <c r="T30" t="b">
        <v>1</v>
      </c>
      <c r="U30" t="s">
        <v>68</v>
      </c>
      <c r="V30" t="b">
        <v>0</v>
      </c>
      <c r="W30" t="b">
        <v>0</v>
      </c>
      <c r="X30">
        <v>20105</v>
      </c>
      <c r="Y30">
        <v>0</v>
      </c>
      <c r="Z30">
        <v>0</v>
      </c>
      <c r="AA30">
        <v>1</v>
      </c>
      <c r="AB30">
        <v>0.5</v>
      </c>
      <c r="AC30">
        <v>0.68</v>
      </c>
      <c r="AD30">
        <v>0.92</v>
      </c>
      <c r="AE30">
        <v>9</v>
      </c>
      <c r="AF30">
        <v>2</v>
      </c>
      <c r="AG30">
        <v>2.4300000000000002</v>
      </c>
      <c r="AH30">
        <v>48750.879999999997</v>
      </c>
      <c r="AI30" t="s">
        <v>69</v>
      </c>
      <c r="AJ30" t="s">
        <v>106</v>
      </c>
      <c r="AK30" t="s">
        <v>107</v>
      </c>
      <c r="AL30">
        <v>4929347</v>
      </c>
      <c r="AM30">
        <v>443753</v>
      </c>
      <c r="AN30">
        <v>757175</v>
      </c>
      <c r="AO30">
        <v>773759</v>
      </c>
      <c r="AP30">
        <v>794117</v>
      </c>
      <c r="AQ30">
        <v>2645421</v>
      </c>
      <c r="AR30">
        <v>1139940</v>
      </c>
      <c r="AS30">
        <v>528954</v>
      </c>
      <c r="AT30">
        <v>1885839</v>
      </c>
      <c r="AU30">
        <v>96316</v>
      </c>
      <c r="AV30">
        <v>204962</v>
      </c>
      <c r="AW30">
        <v>469169</v>
      </c>
      <c r="AX30">
        <v>642581</v>
      </c>
      <c r="AY30">
        <v>932108</v>
      </c>
      <c r="AZ30">
        <v>583777</v>
      </c>
      <c r="BA30">
        <v>884651</v>
      </c>
      <c r="BB30">
        <v>808226</v>
      </c>
      <c r="BC30">
        <v>477261</v>
      </c>
      <c r="BD30">
        <v>489966</v>
      </c>
      <c r="BE30" s="3">
        <v>1226862.577</v>
      </c>
      <c r="BF30">
        <v>1407264.77</v>
      </c>
      <c r="BG30">
        <v>1.6249783689999999</v>
      </c>
    </row>
    <row r="31" spans="1:59" x14ac:dyDescent="0.2">
      <c r="A31" s="2" t="s">
        <v>59</v>
      </c>
      <c r="B31">
        <v>20048</v>
      </c>
      <c r="C31">
        <v>9.0730000000000004</v>
      </c>
      <c r="D31">
        <v>859.53510000000006</v>
      </c>
      <c r="E31" t="s">
        <v>108</v>
      </c>
      <c r="F31" t="s">
        <v>109</v>
      </c>
      <c r="G31" t="s">
        <v>62</v>
      </c>
      <c r="H31" t="s">
        <v>63</v>
      </c>
      <c r="I31">
        <v>0.3</v>
      </c>
      <c r="J31" t="b">
        <v>1</v>
      </c>
      <c r="K31">
        <v>8.1959999999999997</v>
      </c>
      <c r="L31">
        <v>859.53417999999999</v>
      </c>
      <c r="M31" t="s">
        <v>110</v>
      </c>
      <c r="N31" t="s">
        <v>89</v>
      </c>
      <c r="O31" t="s">
        <v>111</v>
      </c>
      <c r="P31" t="s">
        <v>112</v>
      </c>
      <c r="Q31">
        <v>410</v>
      </c>
      <c r="R31" t="b">
        <v>0</v>
      </c>
      <c r="S31" t="b">
        <v>1</v>
      </c>
      <c r="T31" t="b">
        <v>1</v>
      </c>
      <c r="U31" t="s">
        <v>68</v>
      </c>
      <c r="V31" t="b">
        <v>0</v>
      </c>
      <c r="W31" t="b">
        <v>0</v>
      </c>
      <c r="X31">
        <v>20048</v>
      </c>
      <c r="Y31">
        <v>0</v>
      </c>
      <c r="Z31">
        <v>0</v>
      </c>
      <c r="AA31">
        <v>0.99</v>
      </c>
      <c r="AB31">
        <v>0.1</v>
      </c>
      <c r="AC31">
        <v>0.25</v>
      </c>
      <c r="AD31">
        <v>0.77</v>
      </c>
      <c r="AE31">
        <v>9</v>
      </c>
      <c r="AF31">
        <v>2</v>
      </c>
      <c r="AG31">
        <v>2.19</v>
      </c>
      <c r="AH31">
        <v>9750.74</v>
      </c>
      <c r="AI31" t="s">
        <v>69</v>
      </c>
      <c r="AJ31" t="s">
        <v>113</v>
      </c>
      <c r="AK31" t="s">
        <v>114</v>
      </c>
      <c r="AL31">
        <v>370772</v>
      </c>
      <c r="AM31">
        <v>25354</v>
      </c>
      <c r="AN31">
        <v>57223</v>
      </c>
      <c r="AO31">
        <v>39573</v>
      </c>
      <c r="AP31">
        <v>49264</v>
      </c>
      <c r="AQ31">
        <v>23989981</v>
      </c>
      <c r="AR31">
        <v>862799</v>
      </c>
      <c r="AS31">
        <v>636367</v>
      </c>
      <c r="AT31">
        <v>1594326</v>
      </c>
      <c r="AU31">
        <v>5507720</v>
      </c>
      <c r="AV31">
        <v>559250</v>
      </c>
      <c r="AW31">
        <v>12883</v>
      </c>
      <c r="AX31">
        <v>41213</v>
      </c>
      <c r="AY31">
        <v>93746</v>
      </c>
      <c r="AZ31">
        <v>37562</v>
      </c>
      <c r="BA31">
        <v>45757</v>
      </c>
      <c r="BB31">
        <v>65191</v>
      </c>
      <c r="BC31">
        <v>38219</v>
      </c>
      <c r="BD31">
        <v>19877</v>
      </c>
      <c r="BE31" s="3">
        <v>1722539.673</v>
      </c>
      <c r="BF31">
        <v>5384402.2750000004</v>
      </c>
      <c r="BG31">
        <v>1.070347197</v>
      </c>
    </row>
    <row r="32" spans="1:59" x14ac:dyDescent="0.2">
      <c r="A32" s="2" t="s">
        <v>59</v>
      </c>
      <c r="B32">
        <v>20683</v>
      </c>
      <c r="C32">
        <v>10.519</v>
      </c>
      <c r="D32">
        <v>887.56610000000001</v>
      </c>
      <c r="E32" t="s">
        <v>122</v>
      </c>
      <c r="F32" t="s">
        <v>123</v>
      </c>
      <c r="G32" t="s">
        <v>62</v>
      </c>
      <c r="H32" t="s">
        <v>63</v>
      </c>
      <c r="I32">
        <v>0.8</v>
      </c>
      <c r="J32" t="b">
        <v>1</v>
      </c>
      <c r="K32">
        <v>8.7330000000000005</v>
      </c>
      <c r="L32">
        <v>887.56548999999995</v>
      </c>
      <c r="M32" t="s">
        <v>124</v>
      </c>
      <c r="N32" t="s">
        <v>89</v>
      </c>
      <c r="O32" t="s">
        <v>125</v>
      </c>
      <c r="P32" t="s">
        <v>126</v>
      </c>
      <c r="Q32">
        <v>410</v>
      </c>
      <c r="R32" t="b">
        <v>0</v>
      </c>
      <c r="S32" t="b">
        <v>1</v>
      </c>
      <c r="T32" t="b">
        <v>1</v>
      </c>
      <c r="U32" t="s">
        <v>68</v>
      </c>
      <c r="V32" t="b">
        <v>0</v>
      </c>
      <c r="W32" t="b">
        <v>0</v>
      </c>
      <c r="X32">
        <v>20683</v>
      </c>
      <c r="Y32">
        <v>0</v>
      </c>
      <c r="Z32">
        <v>0</v>
      </c>
      <c r="AA32">
        <v>1</v>
      </c>
      <c r="AB32">
        <v>0.16</v>
      </c>
      <c r="AC32">
        <v>0.33</v>
      </c>
      <c r="AD32">
        <v>0.79</v>
      </c>
      <c r="AE32">
        <v>9</v>
      </c>
      <c r="AF32">
        <v>2</v>
      </c>
      <c r="AG32">
        <v>2.23</v>
      </c>
      <c r="AH32">
        <v>18180.580000000002</v>
      </c>
      <c r="AI32" t="s">
        <v>69</v>
      </c>
      <c r="AJ32" t="s">
        <v>127</v>
      </c>
      <c r="AK32" t="s">
        <v>128</v>
      </c>
      <c r="AL32">
        <v>2067525</v>
      </c>
      <c r="AM32">
        <v>326400</v>
      </c>
      <c r="AN32">
        <v>356363</v>
      </c>
      <c r="AO32">
        <v>214593</v>
      </c>
      <c r="AP32">
        <v>482372</v>
      </c>
      <c r="AQ32">
        <v>18678989</v>
      </c>
      <c r="AR32">
        <v>800084</v>
      </c>
      <c r="AS32">
        <v>2226317</v>
      </c>
      <c r="AT32">
        <v>2407900</v>
      </c>
      <c r="AU32">
        <v>5390991</v>
      </c>
      <c r="AV32">
        <v>546535</v>
      </c>
      <c r="AW32">
        <v>290484</v>
      </c>
      <c r="AX32">
        <v>318100</v>
      </c>
      <c r="AY32">
        <v>250099</v>
      </c>
      <c r="AZ32">
        <v>262096</v>
      </c>
      <c r="BA32">
        <v>722054</v>
      </c>
      <c r="BB32">
        <v>268330</v>
      </c>
      <c r="BC32">
        <v>224641</v>
      </c>
      <c r="BD32">
        <v>591874</v>
      </c>
      <c r="BE32" s="3">
        <v>1908677.8060000001</v>
      </c>
      <c r="BF32">
        <v>4141906.64</v>
      </c>
      <c r="BG32">
        <v>0.68727322899999999</v>
      </c>
    </row>
    <row r="33" spans="1:59" x14ac:dyDescent="0.2">
      <c r="A33" s="2" t="s">
        <v>59</v>
      </c>
      <c r="B33">
        <v>20604</v>
      </c>
      <c r="C33">
        <v>8.8339999999999996</v>
      </c>
      <c r="D33">
        <v>883.53386999999998</v>
      </c>
      <c r="E33" t="s">
        <v>136</v>
      </c>
      <c r="F33" t="s">
        <v>137</v>
      </c>
      <c r="G33" t="s">
        <v>62</v>
      </c>
      <c r="H33" t="s">
        <v>63</v>
      </c>
      <c r="I33">
        <v>0.1</v>
      </c>
      <c r="J33" t="b">
        <v>1</v>
      </c>
      <c r="K33">
        <v>8.2170000000000005</v>
      </c>
      <c r="L33">
        <v>883.53417999999999</v>
      </c>
      <c r="M33" t="s">
        <v>138</v>
      </c>
      <c r="N33" t="s">
        <v>89</v>
      </c>
      <c r="O33" t="s">
        <v>139</v>
      </c>
      <c r="P33" t="s">
        <v>140</v>
      </c>
      <c r="Q33">
        <v>410</v>
      </c>
      <c r="R33" t="b">
        <v>0</v>
      </c>
      <c r="S33" t="b">
        <v>1</v>
      </c>
      <c r="T33" t="b">
        <v>1</v>
      </c>
      <c r="U33" t="s">
        <v>68</v>
      </c>
      <c r="V33" t="b">
        <v>0</v>
      </c>
      <c r="W33" t="b">
        <v>0</v>
      </c>
      <c r="X33">
        <v>20604</v>
      </c>
      <c r="Y33">
        <v>0</v>
      </c>
      <c r="Z33">
        <v>0</v>
      </c>
      <c r="AA33">
        <v>1</v>
      </c>
      <c r="AB33">
        <v>0.09</v>
      </c>
      <c r="AC33">
        <v>0.21</v>
      </c>
      <c r="AD33">
        <v>0.77</v>
      </c>
      <c r="AE33">
        <v>9</v>
      </c>
      <c r="AF33">
        <v>2</v>
      </c>
      <c r="AG33">
        <v>2.1800000000000002</v>
      </c>
      <c r="AH33">
        <v>32374.04</v>
      </c>
      <c r="AI33" t="s">
        <v>69</v>
      </c>
      <c r="AJ33" t="s">
        <v>141</v>
      </c>
      <c r="AK33" t="s">
        <v>142</v>
      </c>
      <c r="AL33">
        <v>352223</v>
      </c>
      <c r="AM33">
        <v>27911</v>
      </c>
      <c r="AN33">
        <v>45118</v>
      </c>
      <c r="AO33">
        <v>73864</v>
      </c>
      <c r="AP33">
        <v>86375</v>
      </c>
      <c r="AQ33">
        <v>2960332</v>
      </c>
      <c r="AR33">
        <v>1053255</v>
      </c>
      <c r="AS33">
        <v>1049496</v>
      </c>
      <c r="AT33">
        <v>2444574</v>
      </c>
      <c r="AU33">
        <v>318745</v>
      </c>
      <c r="AV33">
        <v>998200</v>
      </c>
      <c r="AW33">
        <v>34532</v>
      </c>
      <c r="AX33">
        <v>33031</v>
      </c>
      <c r="AY33">
        <v>80335</v>
      </c>
      <c r="AZ33">
        <v>81831</v>
      </c>
      <c r="BA33">
        <v>71591</v>
      </c>
      <c r="BB33">
        <v>50012</v>
      </c>
      <c r="BC33">
        <v>47184</v>
      </c>
      <c r="BD33">
        <v>50960</v>
      </c>
      <c r="BE33" s="3">
        <v>515897.93579999998</v>
      </c>
      <c r="BF33">
        <v>830443.10589999997</v>
      </c>
      <c r="BG33">
        <v>0.35086361900000002</v>
      </c>
    </row>
    <row r="34" spans="1:59" x14ac:dyDescent="0.2">
      <c r="A34" s="2" t="s">
        <v>59</v>
      </c>
      <c r="B34">
        <v>16166</v>
      </c>
      <c r="C34">
        <v>14.272</v>
      </c>
      <c r="D34">
        <v>728.56</v>
      </c>
      <c r="E34" t="s">
        <v>154</v>
      </c>
      <c r="F34" t="s">
        <v>155</v>
      </c>
      <c r="G34" t="s">
        <v>62</v>
      </c>
      <c r="H34" t="s">
        <v>63</v>
      </c>
      <c r="I34">
        <v>0.2</v>
      </c>
      <c r="J34" t="b">
        <v>1</v>
      </c>
      <c r="K34">
        <v>11.542</v>
      </c>
      <c r="L34">
        <v>728.56</v>
      </c>
      <c r="M34" t="s">
        <v>156</v>
      </c>
      <c r="N34" t="s">
        <v>149</v>
      </c>
      <c r="O34" t="s">
        <v>157</v>
      </c>
      <c r="P34" t="s">
        <v>158</v>
      </c>
      <c r="Q34">
        <v>410</v>
      </c>
      <c r="R34" t="b">
        <v>0</v>
      </c>
      <c r="S34" t="b">
        <v>1</v>
      </c>
      <c r="T34" t="b">
        <v>1</v>
      </c>
      <c r="U34" t="s">
        <v>68</v>
      </c>
      <c r="V34" t="b">
        <v>0</v>
      </c>
      <c r="W34" t="b">
        <v>0</v>
      </c>
      <c r="X34">
        <v>16166</v>
      </c>
      <c r="Y34">
        <v>0</v>
      </c>
      <c r="Z34">
        <v>0</v>
      </c>
      <c r="AA34">
        <v>0.98</v>
      </c>
      <c r="AB34">
        <v>0.17</v>
      </c>
      <c r="AC34">
        <v>0.28999999999999998</v>
      </c>
      <c r="AD34">
        <v>0.49</v>
      </c>
      <c r="AE34">
        <v>3</v>
      </c>
      <c r="AF34">
        <v>2</v>
      </c>
      <c r="AG34">
        <v>2.09</v>
      </c>
      <c r="AH34">
        <v>8.23</v>
      </c>
      <c r="AI34" t="s">
        <v>69</v>
      </c>
      <c r="AJ34" t="s">
        <v>159</v>
      </c>
      <c r="AK34" t="s">
        <v>160</v>
      </c>
      <c r="AL34">
        <v>285712</v>
      </c>
      <c r="AM34">
        <v>125037</v>
      </c>
      <c r="AN34">
        <v>17836</v>
      </c>
      <c r="AO34">
        <v>3224</v>
      </c>
      <c r="AP34">
        <v>19989</v>
      </c>
      <c r="AQ34">
        <v>4994562</v>
      </c>
      <c r="AR34">
        <v>3621857</v>
      </c>
      <c r="AS34">
        <v>3744253</v>
      </c>
      <c r="AT34">
        <v>3439360</v>
      </c>
      <c r="AU34">
        <v>2210106</v>
      </c>
      <c r="AV34">
        <v>3955014</v>
      </c>
      <c r="AW34">
        <v>137768</v>
      </c>
      <c r="AX34">
        <v>47469</v>
      </c>
      <c r="AY34">
        <v>4337</v>
      </c>
      <c r="AZ34">
        <v>26794</v>
      </c>
      <c r="BA34">
        <v>14482</v>
      </c>
      <c r="BB34">
        <v>79301</v>
      </c>
      <c r="BC34">
        <v>34812</v>
      </c>
      <c r="BD34">
        <v>475614</v>
      </c>
      <c r="BE34" s="3">
        <v>1188936.5870000001</v>
      </c>
      <c r="BF34">
        <v>1729225.8030000001</v>
      </c>
      <c r="BG34">
        <v>0</v>
      </c>
    </row>
    <row r="35" spans="1:59" x14ac:dyDescent="0.2">
      <c r="A35" s="2" t="s">
        <v>59</v>
      </c>
      <c r="B35">
        <v>8338</v>
      </c>
      <c r="C35">
        <v>1.7310000000000001</v>
      </c>
      <c r="D35">
        <v>438.26281999999998</v>
      </c>
      <c r="E35" t="s">
        <v>257</v>
      </c>
      <c r="F35" t="s">
        <v>257</v>
      </c>
      <c r="G35" t="s">
        <v>62</v>
      </c>
      <c r="H35" t="s">
        <v>63</v>
      </c>
      <c r="I35">
        <v>0.4</v>
      </c>
      <c r="J35" t="b">
        <v>1</v>
      </c>
      <c r="K35">
        <v>5.7640000000000002</v>
      </c>
      <c r="L35">
        <v>438.26260000000002</v>
      </c>
      <c r="M35" t="s">
        <v>258</v>
      </c>
      <c r="N35" t="s">
        <v>259</v>
      </c>
      <c r="O35" t="s">
        <v>260</v>
      </c>
      <c r="P35" t="s">
        <v>261</v>
      </c>
      <c r="Q35">
        <v>410</v>
      </c>
      <c r="R35" t="b">
        <v>0</v>
      </c>
      <c r="S35" t="b">
        <v>1</v>
      </c>
      <c r="T35" t="b">
        <v>1</v>
      </c>
      <c r="U35" t="s">
        <v>68</v>
      </c>
      <c r="V35" t="b">
        <v>0</v>
      </c>
      <c r="W35" t="b">
        <v>0</v>
      </c>
      <c r="X35">
        <v>8338</v>
      </c>
      <c r="Y35">
        <v>0</v>
      </c>
      <c r="Z35">
        <v>0</v>
      </c>
      <c r="AA35">
        <v>0.99</v>
      </c>
      <c r="AB35">
        <v>0.23</v>
      </c>
      <c r="AC35">
        <v>0.25</v>
      </c>
      <c r="AD35">
        <v>0.73</v>
      </c>
      <c r="AE35">
        <v>5</v>
      </c>
      <c r="AF35">
        <v>2</v>
      </c>
      <c r="AG35">
        <v>2.2000000000000002</v>
      </c>
      <c r="AH35">
        <v>61.22</v>
      </c>
      <c r="AI35" t="s">
        <v>262</v>
      </c>
      <c r="AJ35" t="s">
        <v>263</v>
      </c>
      <c r="AK35" t="s">
        <v>264</v>
      </c>
      <c r="AL35">
        <v>835370</v>
      </c>
      <c r="AM35">
        <v>26921</v>
      </c>
      <c r="AN35">
        <v>36563</v>
      </c>
      <c r="AO35">
        <v>6001</v>
      </c>
      <c r="AP35">
        <v>56095</v>
      </c>
      <c r="AQ35">
        <v>1651503</v>
      </c>
      <c r="AR35">
        <v>923544</v>
      </c>
      <c r="AS35">
        <v>1175588</v>
      </c>
      <c r="AT35">
        <v>1187322</v>
      </c>
      <c r="AU35">
        <v>768150</v>
      </c>
      <c r="AV35">
        <v>1124717</v>
      </c>
      <c r="AW35">
        <v>44209</v>
      </c>
      <c r="AX35">
        <v>24592</v>
      </c>
      <c r="AY35">
        <v>38536</v>
      </c>
      <c r="AZ35">
        <v>30483</v>
      </c>
      <c r="BA35">
        <v>27439</v>
      </c>
      <c r="BB35">
        <v>41444</v>
      </c>
      <c r="BC35">
        <v>40793</v>
      </c>
      <c r="BD35">
        <v>58282</v>
      </c>
      <c r="BE35" s="3">
        <v>431834.70449999999</v>
      </c>
      <c r="BF35">
        <v>538214.46459999995</v>
      </c>
      <c r="BG35">
        <v>0.50198214500000005</v>
      </c>
    </row>
    <row r="36" spans="1:59" x14ac:dyDescent="0.2">
      <c r="A36" s="2" t="s">
        <v>59</v>
      </c>
      <c r="B36">
        <v>9243</v>
      </c>
      <c r="C36">
        <v>1.819</v>
      </c>
      <c r="D36">
        <v>464.27859000000001</v>
      </c>
      <c r="E36" t="s">
        <v>265</v>
      </c>
      <c r="F36" t="s">
        <v>265</v>
      </c>
      <c r="G36" t="s">
        <v>62</v>
      </c>
      <c r="H36" t="s">
        <v>63</v>
      </c>
      <c r="I36">
        <v>0.5</v>
      </c>
      <c r="J36" t="b">
        <v>1</v>
      </c>
      <c r="K36">
        <v>6.0819999999999999</v>
      </c>
      <c r="L36">
        <v>464.27829000000003</v>
      </c>
      <c r="M36" t="s">
        <v>266</v>
      </c>
      <c r="N36" t="s">
        <v>259</v>
      </c>
      <c r="O36" t="s">
        <v>267</v>
      </c>
      <c r="P36" t="s">
        <v>268</v>
      </c>
      <c r="Q36">
        <v>410</v>
      </c>
      <c r="R36" t="b">
        <v>0</v>
      </c>
      <c r="S36" t="b">
        <v>1</v>
      </c>
      <c r="T36" t="b">
        <v>1</v>
      </c>
      <c r="U36" t="s">
        <v>68</v>
      </c>
      <c r="V36" t="b">
        <v>0</v>
      </c>
      <c r="W36" t="b">
        <v>0</v>
      </c>
      <c r="X36">
        <v>9243</v>
      </c>
      <c r="Y36">
        <v>0</v>
      </c>
      <c r="Z36">
        <v>0</v>
      </c>
      <c r="AA36">
        <v>0.96</v>
      </c>
      <c r="AB36">
        <v>0.18</v>
      </c>
      <c r="AC36">
        <v>0.23</v>
      </c>
      <c r="AD36">
        <v>0.69</v>
      </c>
      <c r="AE36">
        <v>5</v>
      </c>
      <c r="AF36">
        <v>2</v>
      </c>
      <c r="AG36">
        <v>2.15</v>
      </c>
      <c r="AH36">
        <v>66.12</v>
      </c>
      <c r="AI36" t="s">
        <v>262</v>
      </c>
      <c r="AJ36" t="s">
        <v>269</v>
      </c>
      <c r="AK36" t="s">
        <v>270</v>
      </c>
      <c r="AL36">
        <v>823405</v>
      </c>
      <c r="AM36">
        <v>38611</v>
      </c>
      <c r="AN36">
        <v>24488</v>
      </c>
      <c r="AO36">
        <v>21005</v>
      </c>
      <c r="AP36">
        <v>14529</v>
      </c>
      <c r="AQ36">
        <v>1684114</v>
      </c>
      <c r="AR36">
        <v>1892188</v>
      </c>
      <c r="AS36">
        <v>2193772</v>
      </c>
      <c r="AT36">
        <v>2144970</v>
      </c>
      <c r="AU36">
        <v>1398400</v>
      </c>
      <c r="AV36">
        <v>2588228</v>
      </c>
      <c r="AW36">
        <v>73218</v>
      </c>
      <c r="AX36">
        <v>12479</v>
      </c>
      <c r="AY36">
        <v>43277</v>
      </c>
      <c r="AZ36">
        <v>63311</v>
      </c>
      <c r="BA36">
        <v>41252</v>
      </c>
      <c r="BB36">
        <v>13061</v>
      </c>
      <c r="BC36">
        <v>90177</v>
      </c>
      <c r="BD36">
        <v>52464</v>
      </c>
      <c r="BE36" s="3">
        <v>694863.8676</v>
      </c>
      <c r="BF36">
        <v>917693.89859999996</v>
      </c>
      <c r="BG36">
        <v>0.64616417900000001</v>
      </c>
    </row>
    <row r="37" spans="1:59" x14ac:dyDescent="0.2">
      <c r="A37" s="2" t="s">
        <v>59</v>
      </c>
      <c r="B37">
        <v>10484</v>
      </c>
      <c r="C37">
        <v>3.548</v>
      </c>
      <c r="D37">
        <v>506.32393999999999</v>
      </c>
      <c r="E37" t="s">
        <v>295</v>
      </c>
      <c r="F37" t="s">
        <v>295</v>
      </c>
      <c r="G37" t="s">
        <v>62</v>
      </c>
      <c r="H37" t="s">
        <v>63</v>
      </c>
      <c r="I37">
        <v>0.45</v>
      </c>
      <c r="J37" t="b">
        <v>1</v>
      </c>
      <c r="K37">
        <v>6.907</v>
      </c>
      <c r="L37">
        <v>506.3252</v>
      </c>
      <c r="M37" t="s">
        <v>296</v>
      </c>
      <c r="N37" t="s">
        <v>259</v>
      </c>
      <c r="O37" t="s">
        <v>297</v>
      </c>
      <c r="P37" t="s">
        <v>298</v>
      </c>
      <c r="Q37">
        <v>410</v>
      </c>
      <c r="R37" t="b">
        <v>0</v>
      </c>
      <c r="S37" t="b">
        <v>1</v>
      </c>
      <c r="T37" t="b">
        <v>1</v>
      </c>
      <c r="U37" t="s">
        <v>68</v>
      </c>
      <c r="V37" t="b">
        <v>0</v>
      </c>
      <c r="W37" t="b">
        <v>0</v>
      </c>
      <c r="X37">
        <v>10484</v>
      </c>
      <c r="Y37">
        <v>0</v>
      </c>
      <c r="Z37">
        <v>0</v>
      </c>
      <c r="AA37">
        <v>0.99</v>
      </c>
      <c r="AB37">
        <v>0.72</v>
      </c>
      <c r="AC37">
        <v>0.77</v>
      </c>
      <c r="AD37">
        <v>0.95</v>
      </c>
      <c r="AE37">
        <v>5</v>
      </c>
      <c r="AF37">
        <v>2</v>
      </c>
      <c r="AG37">
        <v>2.5099999999999998</v>
      </c>
      <c r="AH37">
        <v>69.39</v>
      </c>
      <c r="AI37" t="s">
        <v>69</v>
      </c>
      <c r="AJ37" t="s">
        <v>299</v>
      </c>
      <c r="AK37" t="s">
        <v>300</v>
      </c>
      <c r="AL37">
        <v>7322845</v>
      </c>
      <c r="AM37">
        <v>238282</v>
      </c>
      <c r="AN37">
        <v>186745</v>
      </c>
      <c r="AO37">
        <v>0</v>
      </c>
      <c r="AP37">
        <v>107825</v>
      </c>
      <c r="AQ37">
        <v>978824</v>
      </c>
      <c r="AR37">
        <v>170650</v>
      </c>
      <c r="AS37">
        <v>719156</v>
      </c>
      <c r="AT37">
        <v>550980</v>
      </c>
      <c r="AU37">
        <v>207891</v>
      </c>
      <c r="AV37">
        <v>914094</v>
      </c>
      <c r="AW37">
        <v>732047</v>
      </c>
      <c r="AX37">
        <v>83344</v>
      </c>
      <c r="AY37">
        <v>10889</v>
      </c>
      <c r="AZ37">
        <v>11712</v>
      </c>
      <c r="BA37">
        <v>25787</v>
      </c>
      <c r="BB37">
        <v>158538</v>
      </c>
      <c r="BC37">
        <v>110174</v>
      </c>
      <c r="BD37">
        <v>1067301</v>
      </c>
      <c r="BE37" s="3">
        <v>976190.51280000003</v>
      </c>
      <c r="BF37">
        <v>1976192.267</v>
      </c>
      <c r="BG37">
        <v>2.4885192360000001</v>
      </c>
    </row>
    <row r="38" spans="1:59" x14ac:dyDescent="0.2">
      <c r="A38" s="2" t="s">
        <v>59</v>
      </c>
      <c r="B38">
        <v>10370</v>
      </c>
      <c r="C38">
        <v>1.859</v>
      </c>
      <c r="D38">
        <v>502.29288000000003</v>
      </c>
      <c r="E38" t="s">
        <v>301</v>
      </c>
      <c r="F38" t="s">
        <v>301</v>
      </c>
      <c r="G38" t="s">
        <v>62</v>
      </c>
      <c r="H38" t="s">
        <v>63</v>
      </c>
      <c r="I38">
        <v>0.5</v>
      </c>
      <c r="J38" t="b">
        <v>1</v>
      </c>
      <c r="K38">
        <v>6.3029999999999999</v>
      </c>
      <c r="L38">
        <v>502.29390999999998</v>
      </c>
      <c r="M38" t="s">
        <v>302</v>
      </c>
      <c r="N38" t="s">
        <v>259</v>
      </c>
      <c r="O38" t="s">
        <v>303</v>
      </c>
      <c r="P38" t="s">
        <v>304</v>
      </c>
      <c r="Q38">
        <v>410</v>
      </c>
      <c r="R38" t="b">
        <v>0</v>
      </c>
      <c r="S38" t="b">
        <v>1</v>
      </c>
      <c r="T38" t="b">
        <v>1</v>
      </c>
      <c r="U38" t="s">
        <v>68</v>
      </c>
      <c r="V38" t="b">
        <v>0</v>
      </c>
      <c r="W38" t="b">
        <v>0</v>
      </c>
      <c r="X38">
        <v>10370</v>
      </c>
      <c r="Y38">
        <v>0</v>
      </c>
      <c r="Z38">
        <v>0</v>
      </c>
      <c r="AA38">
        <v>1</v>
      </c>
      <c r="AB38">
        <v>0.63</v>
      </c>
      <c r="AC38">
        <v>0.72</v>
      </c>
      <c r="AD38">
        <v>0.94</v>
      </c>
      <c r="AE38">
        <v>5</v>
      </c>
      <c r="AF38">
        <v>2</v>
      </c>
      <c r="AG38">
        <v>2.48</v>
      </c>
      <c r="AH38">
        <v>65.849999999999994</v>
      </c>
      <c r="AI38" t="s">
        <v>69</v>
      </c>
      <c r="AJ38" t="s">
        <v>305</v>
      </c>
      <c r="AK38" t="s">
        <v>306</v>
      </c>
      <c r="AL38">
        <v>10487676</v>
      </c>
      <c r="AM38">
        <v>534189</v>
      </c>
      <c r="AN38">
        <v>1876185</v>
      </c>
      <c r="AO38">
        <v>395972</v>
      </c>
      <c r="AP38">
        <v>436566</v>
      </c>
      <c r="AQ38">
        <v>27636290</v>
      </c>
      <c r="AR38">
        <v>4437276</v>
      </c>
      <c r="AS38">
        <v>19423012</v>
      </c>
      <c r="AT38">
        <v>17963816</v>
      </c>
      <c r="AU38">
        <v>4861607</v>
      </c>
      <c r="AV38">
        <v>12572400</v>
      </c>
      <c r="AW38">
        <v>1114047</v>
      </c>
      <c r="AX38">
        <v>353917</v>
      </c>
      <c r="AY38">
        <v>460808</v>
      </c>
      <c r="AZ38">
        <v>524228</v>
      </c>
      <c r="BA38">
        <v>502043</v>
      </c>
      <c r="BB38">
        <v>537087</v>
      </c>
      <c r="BC38">
        <v>1156437</v>
      </c>
      <c r="BD38">
        <v>591239</v>
      </c>
      <c r="BE38" s="3">
        <v>5831085.8849999998</v>
      </c>
      <c r="BF38">
        <v>8009900.9440000001</v>
      </c>
      <c r="BG38">
        <v>2.0505922519999999</v>
      </c>
    </row>
    <row r="39" spans="1:59" x14ac:dyDescent="0.2">
      <c r="A39" s="2" t="s">
        <v>59</v>
      </c>
      <c r="B39">
        <v>10273</v>
      </c>
      <c r="C39">
        <v>1.282</v>
      </c>
      <c r="D39">
        <v>498.26294000000001</v>
      </c>
      <c r="E39" t="s">
        <v>313</v>
      </c>
      <c r="F39" t="s">
        <v>313</v>
      </c>
      <c r="G39" t="s">
        <v>62</v>
      </c>
      <c r="H39" t="s">
        <v>63</v>
      </c>
      <c r="I39">
        <v>0.35</v>
      </c>
      <c r="J39" t="b">
        <v>1</v>
      </c>
      <c r="K39">
        <v>5.4089999999999998</v>
      </c>
      <c r="L39">
        <v>498.26260000000002</v>
      </c>
      <c r="M39" t="s">
        <v>314</v>
      </c>
      <c r="N39" t="s">
        <v>259</v>
      </c>
      <c r="O39" t="s">
        <v>315</v>
      </c>
      <c r="P39" t="s">
        <v>316</v>
      </c>
      <c r="Q39">
        <v>410</v>
      </c>
      <c r="R39" t="b">
        <v>0</v>
      </c>
      <c r="S39" t="b">
        <v>1</v>
      </c>
      <c r="T39" t="b">
        <v>1</v>
      </c>
      <c r="U39" t="s">
        <v>68</v>
      </c>
      <c r="V39" t="b">
        <v>0</v>
      </c>
      <c r="W39" t="b">
        <v>0</v>
      </c>
      <c r="X39">
        <v>10273</v>
      </c>
      <c r="Y39">
        <v>0</v>
      </c>
      <c r="Z39">
        <v>0</v>
      </c>
      <c r="AA39">
        <v>0.98</v>
      </c>
      <c r="AB39">
        <v>0.09</v>
      </c>
      <c r="AC39">
        <v>0.14000000000000001</v>
      </c>
      <c r="AD39">
        <v>0.73</v>
      </c>
      <c r="AE39">
        <v>5</v>
      </c>
      <c r="AF39">
        <v>2</v>
      </c>
      <c r="AG39">
        <v>2.14</v>
      </c>
      <c r="AH39">
        <v>58.16</v>
      </c>
      <c r="AI39" t="s">
        <v>262</v>
      </c>
      <c r="AJ39" t="s">
        <v>317</v>
      </c>
      <c r="AK39" t="s">
        <v>318</v>
      </c>
      <c r="AL39">
        <v>194278</v>
      </c>
      <c r="AM39">
        <v>7071</v>
      </c>
      <c r="AN39">
        <v>7358</v>
      </c>
      <c r="AO39">
        <v>4135</v>
      </c>
      <c r="AP39">
        <v>9483</v>
      </c>
      <c r="AQ39">
        <v>1800849</v>
      </c>
      <c r="AR39">
        <v>297394</v>
      </c>
      <c r="AS39">
        <v>792364</v>
      </c>
      <c r="AT39">
        <v>729057</v>
      </c>
      <c r="AU39">
        <v>5085020</v>
      </c>
      <c r="AV39">
        <v>675177</v>
      </c>
      <c r="AW39">
        <v>12042</v>
      </c>
      <c r="AX39">
        <v>8539</v>
      </c>
      <c r="AY39">
        <v>8019</v>
      </c>
      <c r="AZ39">
        <v>15620</v>
      </c>
      <c r="BA39">
        <v>24875</v>
      </c>
      <c r="BB39">
        <v>8770</v>
      </c>
      <c r="BC39">
        <v>12390</v>
      </c>
      <c r="BD39">
        <v>15077</v>
      </c>
      <c r="BE39" s="3">
        <v>488496.60600000003</v>
      </c>
      <c r="BF39">
        <v>1171481.905</v>
      </c>
      <c r="BG39">
        <v>0.68237110300000003</v>
      </c>
    </row>
    <row r="40" spans="1:59" x14ac:dyDescent="0.2">
      <c r="A40" s="2" t="s">
        <v>59</v>
      </c>
      <c r="B40">
        <v>11536</v>
      </c>
      <c r="C40">
        <v>2.1070000000000002</v>
      </c>
      <c r="D40">
        <v>528.30889999999999</v>
      </c>
      <c r="E40" t="s">
        <v>319</v>
      </c>
      <c r="F40" t="s">
        <v>319</v>
      </c>
      <c r="G40" t="s">
        <v>62</v>
      </c>
      <c r="H40" t="s">
        <v>63</v>
      </c>
      <c r="I40">
        <v>0.9</v>
      </c>
      <c r="J40" t="b">
        <v>1</v>
      </c>
      <c r="K40">
        <v>6.2809999999999997</v>
      </c>
      <c r="L40">
        <v>528.30957000000001</v>
      </c>
      <c r="M40" t="s">
        <v>320</v>
      </c>
      <c r="N40" t="s">
        <v>259</v>
      </c>
      <c r="O40" t="s">
        <v>321</v>
      </c>
      <c r="P40" t="s">
        <v>322</v>
      </c>
      <c r="Q40">
        <v>410</v>
      </c>
      <c r="R40" t="b">
        <v>0</v>
      </c>
      <c r="S40" t="b">
        <v>1</v>
      </c>
      <c r="T40" t="b">
        <v>1</v>
      </c>
      <c r="U40" t="s">
        <v>68</v>
      </c>
      <c r="V40" t="b">
        <v>0</v>
      </c>
      <c r="W40" t="b">
        <v>0</v>
      </c>
      <c r="X40">
        <v>11536</v>
      </c>
      <c r="Y40">
        <v>0</v>
      </c>
      <c r="Z40">
        <v>0</v>
      </c>
      <c r="AA40">
        <v>1</v>
      </c>
      <c r="AB40">
        <v>0.81</v>
      </c>
      <c r="AC40">
        <v>0.91</v>
      </c>
      <c r="AD40">
        <v>0.95</v>
      </c>
      <c r="AE40">
        <v>5</v>
      </c>
      <c r="AF40">
        <v>2</v>
      </c>
      <c r="AG40">
        <v>2.56</v>
      </c>
      <c r="AH40">
        <v>73020.95</v>
      </c>
      <c r="AI40" t="s">
        <v>69</v>
      </c>
      <c r="AJ40" t="s">
        <v>323</v>
      </c>
      <c r="AK40" t="s">
        <v>324</v>
      </c>
      <c r="AL40">
        <v>9539958</v>
      </c>
      <c r="AM40">
        <v>1431490</v>
      </c>
      <c r="AN40">
        <v>960904</v>
      </c>
      <c r="AO40">
        <v>224014</v>
      </c>
      <c r="AP40">
        <v>678684</v>
      </c>
      <c r="AQ40">
        <v>1633412</v>
      </c>
      <c r="AR40">
        <v>515514</v>
      </c>
      <c r="AS40">
        <v>1852134</v>
      </c>
      <c r="AT40">
        <v>1392611</v>
      </c>
      <c r="AU40">
        <v>169492</v>
      </c>
      <c r="AV40">
        <v>1162035</v>
      </c>
      <c r="AW40">
        <v>2216689</v>
      </c>
      <c r="AX40">
        <v>1301088</v>
      </c>
      <c r="AY40">
        <v>1230798</v>
      </c>
      <c r="AZ40">
        <v>1344481</v>
      </c>
      <c r="BA40">
        <v>1565281</v>
      </c>
      <c r="BB40">
        <v>1486809</v>
      </c>
      <c r="BC40">
        <v>933571</v>
      </c>
      <c r="BD40">
        <v>1357983</v>
      </c>
      <c r="BE40" s="3">
        <v>2476140.7650000001</v>
      </c>
      <c r="BF40">
        <v>4243039.9869999997</v>
      </c>
      <c r="BG40">
        <v>1.2681958419999999</v>
      </c>
    </row>
    <row r="41" spans="1:59" x14ac:dyDescent="0.2">
      <c r="A41" s="2" t="s">
        <v>202</v>
      </c>
      <c r="B41">
        <v>32027</v>
      </c>
      <c r="C41">
        <v>21.803000000000001</v>
      </c>
      <c r="D41">
        <v>968.76928999999996</v>
      </c>
      <c r="E41" t="s">
        <v>213</v>
      </c>
      <c r="F41" t="s">
        <v>214</v>
      </c>
      <c r="G41" t="s">
        <v>205</v>
      </c>
      <c r="H41" t="s">
        <v>63</v>
      </c>
      <c r="I41">
        <v>0.05</v>
      </c>
      <c r="J41" t="b">
        <v>1</v>
      </c>
      <c r="K41">
        <v>13.938000000000001</v>
      </c>
      <c r="L41">
        <v>968.77020000000005</v>
      </c>
      <c r="M41" t="s">
        <v>215</v>
      </c>
      <c r="N41" t="s">
        <v>207</v>
      </c>
      <c r="O41" t="s">
        <v>216</v>
      </c>
      <c r="P41" t="s">
        <v>217</v>
      </c>
      <c r="Q41">
        <v>410</v>
      </c>
      <c r="R41" t="b">
        <v>0</v>
      </c>
      <c r="S41" t="b">
        <v>1</v>
      </c>
      <c r="T41" t="b">
        <v>1</v>
      </c>
      <c r="U41" t="s">
        <v>68</v>
      </c>
      <c r="V41" t="b">
        <v>0</v>
      </c>
      <c r="W41" t="b">
        <v>0</v>
      </c>
      <c r="X41">
        <v>32027</v>
      </c>
      <c r="Y41">
        <v>0</v>
      </c>
      <c r="Z41">
        <v>0</v>
      </c>
      <c r="AA41">
        <v>1</v>
      </c>
      <c r="AB41">
        <v>0.04</v>
      </c>
      <c r="AC41">
        <v>0.09</v>
      </c>
      <c r="AD41">
        <v>0.72</v>
      </c>
      <c r="AE41">
        <v>3</v>
      </c>
      <c r="AF41">
        <v>2</v>
      </c>
      <c r="AG41">
        <v>2.12</v>
      </c>
      <c r="AH41">
        <v>9.1199999999999992</v>
      </c>
      <c r="AI41" t="s">
        <v>210</v>
      </c>
      <c r="AJ41" t="s">
        <v>218</v>
      </c>
      <c r="AK41" t="s">
        <v>219</v>
      </c>
      <c r="AL41">
        <v>453839</v>
      </c>
      <c r="AM41">
        <v>7712</v>
      </c>
      <c r="AN41">
        <v>29431</v>
      </c>
      <c r="AO41">
        <v>9191</v>
      </c>
      <c r="AP41">
        <v>5990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19113</v>
      </c>
      <c r="AX41">
        <v>7471</v>
      </c>
      <c r="AY41">
        <v>16308</v>
      </c>
      <c r="AZ41">
        <v>13317</v>
      </c>
      <c r="BA41">
        <v>16476</v>
      </c>
      <c r="BB41">
        <v>6982</v>
      </c>
      <c r="BC41">
        <v>7606</v>
      </c>
      <c r="BD41">
        <v>16441</v>
      </c>
      <c r="BE41" s="3">
        <v>32098.853859999999</v>
      </c>
      <c r="BF41">
        <v>102456.64049999999</v>
      </c>
      <c r="BG41">
        <v>0.93933525200000001</v>
      </c>
    </row>
    <row r="42" spans="1:59" x14ac:dyDescent="0.2">
      <c r="A42" s="2" t="s">
        <v>202</v>
      </c>
      <c r="B42">
        <v>24602</v>
      </c>
      <c r="C42">
        <v>10.194000000000001</v>
      </c>
      <c r="D42">
        <v>758.56732</v>
      </c>
      <c r="E42" t="s">
        <v>229</v>
      </c>
      <c r="F42" t="s">
        <v>230</v>
      </c>
      <c r="G42" t="s">
        <v>222</v>
      </c>
      <c r="H42" t="s">
        <v>63</v>
      </c>
      <c r="I42">
        <v>0.68</v>
      </c>
      <c r="J42" t="b">
        <v>1</v>
      </c>
      <c r="K42">
        <v>9.15</v>
      </c>
      <c r="L42">
        <v>758.56939999999997</v>
      </c>
      <c r="M42" t="s">
        <v>231</v>
      </c>
      <c r="N42" t="s">
        <v>224</v>
      </c>
      <c r="O42" t="s">
        <v>232</v>
      </c>
      <c r="P42" t="s">
        <v>233</v>
      </c>
      <c r="Q42">
        <v>530</v>
      </c>
      <c r="R42" t="b">
        <v>0</v>
      </c>
      <c r="S42" t="b">
        <v>1</v>
      </c>
      <c r="T42" t="b">
        <v>0</v>
      </c>
      <c r="U42" t="s">
        <v>68</v>
      </c>
      <c r="V42" t="b">
        <v>0</v>
      </c>
      <c r="W42" t="b">
        <v>0</v>
      </c>
      <c r="X42">
        <v>24602</v>
      </c>
      <c r="Y42">
        <v>0</v>
      </c>
      <c r="Z42">
        <v>0</v>
      </c>
      <c r="AA42">
        <v>0.99</v>
      </c>
      <c r="AB42">
        <v>0.06</v>
      </c>
      <c r="AC42">
        <v>0.05</v>
      </c>
      <c r="AD42">
        <v>0.35</v>
      </c>
      <c r="AE42">
        <v>4</v>
      </c>
      <c r="AF42">
        <v>1</v>
      </c>
      <c r="AG42">
        <v>1.31</v>
      </c>
      <c r="AH42">
        <v>1647.33</v>
      </c>
      <c r="AI42" t="s">
        <v>210</v>
      </c>
      <c r="AJ42" t="s">
        <v>234</v>
      </c>
      <c r="AK42" t="s">
        <v>235</v>
      </c>
      <c r="AL42">
        <v>467900868</v>
      </c>
      <c r="AM42">
        <v>33188914</v>
      </c>
      <c r="AN42">
        <v>10677697</v>
      </c>
      <c r="AO42">
        <v>29513034</v>
      </c>
      <c r="AP42">
        <v>24085901</v>
      </c>
      <c r="AQ42">
        <v>618628902</v>
      </c>
      <c r="AR42">
        <v>475596098</v>
      </c>
      <c r="AS42">
        <v>525072253</v>
      </c>
      <c r="AT42">
        <v>484922842</v>
      </c>
      <c r="AU42">
        <v>6225668628</v>
      </c>
      <c r="AV42">
        <v>507094841</v>
      </c>
      <c r="AW42">
        <v>21597965</v>
      </c>
      <c r="AX42">
        <v>42359876</v>
      </c>
      <c r="AY42">
        <v>24349467</v>
      </c>
      <c r="AZ42">
        <v>21114222</v>
      </c>
      <c r="BA42">
        <v>27617049</v>
      </c>
      <c r="BB42">
        <v>30334126</v>
      </c>
      <c r="BC42">
        <v>48016226</v>
      </c>
      <c r="BD42">
        <v>33884013</v>
      </c>
      <c r="BE42" s="3">
        <v>507980153.69999999</v>
      </c>
      <c r="BF42">
        <v>1403627058</v>
      </c>
      <c r="BG42">
        <v>2.7420035660000002</v>
      </c>
    </row>
    <row r="43" spans="1:59" x14ac:dyDescent="0.2">
      <c r="A43" s="2" t="s">
        <v>202</v>
      </c>
      <c r="B43">
        <v>25257</v>
      </c>
      <c r="C43">
        <v>10.646000000000001</v>
      </c>
      <c r="D43">
        <v>772.58245999999997</v>
      </c>
      <c r="E43" t="s">
        <v>243</v>
      </c>
      <c r="F43" t="s">
        <v>244</v>
      </c>
      <c r="G43" t="s">
        <v>222</v>
      </c>
      <c r="H43" t="s">
        <v>63</v>
      </c>
      <c r="I43">
        <v>0.68</v>
      </c>
      <c r="J43" t="b">
        <v>1</v>
      </c>
      <c r="K43">
        <v>9.4559999999999995</v>
      </c>
      <c r="L43">
        <v>772.58507999999995</v>
      </c>
      <c r="M43" t="s">
        <v>245</v>
      </c>
      <c r="N43" t="s">
        <v>224</v>
      </c>
      <c r="O43" t="s">
        <v>246</v>
      </c>
      <c r="P43" t="s">
        <v>247</v>
      </c>
      <c r="Q43">
        <v>530</v>
      </c>
      <c r="R43" t="b">
        <v>0</v>
      </c>
      <c r="S43" t="b">
        <v>1</v>
      </c>
      <c r="T43" t="b">
        <v>0</v>
      </c>
      <c r="U43" t="s">
        <v>68</v>
      </c>
      <c r="V43" t="b">
        <v>0</v>
      </c>
      <c r="W43" t="b">
        <v>0</v>
      </c>
      <c r="X43">
        <v>25257</v>
      </c>
      <c r="Y43">
        <v>0</v>
      </c>
      <c r="Z43">
        <v>0</v>
      </c>
      <c r="AA43">
        <v>0.99</v>
      </c>
      <c r="AB43">
        <v>0.11</v>
      </c>
      <c r="AC43">
        <v>0.09</v>
      </c>
      <c r="AD43">
        <v>0.31</v>
      </c>
      <c r="AE43">
        <v>6</v>
      </c>
      <c r="AF43">
        <v>1</v>
      </c>
      <c r="AG43">
        <v>1.31</v>
      </c>
      <c r="AH43">
        <v>29.32</v>
      </c>
      <c r="AI43" t="s">
        <v>210</v>
      </c>
      <c r="AJ43" t="s">
        <v>248</v>
      </c>
      <c r="AK43" t="s">
        <v>249</v>
      </c>
      <c r="AL43">
        <v>15941123</v>
      </c>
      <c r="AM43">
        <v>495566</v>
      </c>
      <c r="AN43">
        <v>1247347</v>
      </c>
      <c r="AO43">
        <v>494681</v>
      </c>
      <c r="AP43">
        <v>719807</v>
      </c>
      <c r="AQ43">
        <v>169061692</v>
      </c>
      <c r="AR43">
        <v>111162076</v>
      </c>
      <c r="AS43">
        <v>159456270</v>
      </c>
      <c r="AT43">
        <v>132966074</v>
      </c>
      <c r="AU43">
        <v>50904540</v>
      </c>
      <c r="AV43">
        <v>118772734</v>
      </c>
      <c r="AW43">
        <v>439754</v>
      </c>
      <c r="AX43">
        <v>350299</v>
      </c>
      <c r="AY43">
        <v>548842</v>
      </c>
      <c r="AZ43">
        <v>519012</v>
      </c>
      <c r="BA43">
        <v>927853</v>
      </c>
      <c r="BB43">
        <v>1165660</v>
      </c>
      <c r="BC43">
        <v>355043</v>
      </c>
      <c r="BD43">
        <v>499238</v>
      </c>
      <c r="BE43" s="3">
        <v>40317242.770000003</v>
      </c>
      <c r="BF43">
        <v>62414127.869999997</v>
      </c>
      <c r="BG43">
        <v>3.3912122660000001</v>
      </c>
    </row>
    <row r="44" spans="1:59" x14ac:dyDescent="0.2">
      <c r="A44" s="2" t="s">
        <v>202</v>
      </c>
      <c r="B44">
        <v>25900</v>
      </c>
      <c r="C44">
        <v>12.007999999999999</v>
      </c>
      <c r="D44">
        <v>786.59997999999996</v>
      </c>
      <c r="E44" t="s">
        <v>250</v>
      </c>
      <c r="F44" t="s">
        <v>251</v>
      </c>
      <c r="G44" t="s">
        <v>222</v>
      </c>
      <c r="H44" t="s">
        <v>63</v>
      </c>
      <c r="I44">
        <v>0.68</v>
      </c>
      <c r="J44" t="b">
        <v>1</v>
      </c>
      <c r="K44">
        <v>9.8290000000000006</v>
      </c>
      <c r="L44">
        <v>786.60071000000005</v>
      </c>
      <c r="M44" t="s">
        <v>252</v>
      </c>
      <c r="N44" t="s">
        <v>224</v>
      </c>
      <c r="O44" t="s">
        <v>253</v>
      </c>
      <c r="P44" t="s">
        <v>254</v>
      </c>
      <c r="Q44">
        <v>530</v>
      </c>
      <c r="R44" t="b">
        <v>0</v>
      </c>
      <c r="S44" t="b">
        <v>1</v>
      </c>
      <c r="T44" t="b">
        <v>0</v>
      </c>
      <c r="U44" t="s">
        <v>68</v>
      </c>
      <c r="V44" t="b">
        <v>0</v>
      </c>
      <c r="W44" t="b">
        <v>0</v>
      </c>
      <c r="X44">
        <v>25900</v>
      </c>
      <c r="Y44">
        <v>0</v>
      </c>
      <c r="Z44">
        <v>0</v>
      </c>
      <c r="AA44">
        <v>1</v>
      </c>
      <c r="AB44">
        <v>0.03</v>
      </c>
      <c r="AC44">
        <v>0.02</v>
      </c>
      <c r="AD44">
        <v>0.34</v>
      </c>
      <c r="AE44">
        <v>4</v>
      </c>
      <c r="AF44">
        <v>1</v>
      </c>
      <c r="AG44">
        <v>1.3</v>
      </c>
      <c r="AH44">
        <v>502.03</v>
      </c>
      <c r="AI44" t="s">
        <v>210</v>
      </c>
      <c r="AJ44" t="s">
        <v>255</v>
      </c>
      <c r="AK44" t="s">
        <v>256</v>
      </c>
      <c r="AL44">
        <v>198853433</v>
      </c>
      <c r="AM44">
        <v>23752222</v>
      </c>
      <c r="AN44">
        <v>19383955</v>
      </c>
      <c r="AO44">
        <v>52780074</v>
      </c>
      <c r="AP44">
        <v>35311340</v>
      </c>
      <c r="AQ44">
        <v>63572431</v>
      </c>
      <c r="AR44">
        <v>54098583</v>
      </c>
      <c r="AS44">
        <v>377133472</v>
      </c>
      <c r="AT44">
        <v>55015534</v>
      </c>
      <c r="AU44">
        <v>29229762</v>
      </c>
      <c r="AV44">
        <v>58355028</v>
      </c>
      <c r="AW44">
        <v>9333772</v>
      </c>
      <c r="AX44">
        <v>16537152</v>
      </c>
      <c r="AY44">
        <v>28152373</v>
      </c>
      <c r="AZ44">
        <v>49559926</v>
      </c>
      <c r="BA44">
        <v>6697629</v>
      </c>
      <c r="BB44">
        <v>19985714</v>
      </c>
      <c r="BC44">
        <v>40143574</v>
      </c>
      <c r="BD44">
        <v>61024217</v>
      </c>
      <c r="BE44" s="3">
        <v>63101062.700000003</v>
      </c>
      <c r="BF44">
        <v>86517606.950000003</v>
      </c>
      <c r="BG44">
        <v>0.92804391200000003</v>
      </c>
    </row>
    <row r="45" spans="1:59" x14ac:dyDescent="0.2">
      <c r="A45" s="2" t="s">
        <v>202</v>
      </c>
      <c r="B45">
        <v>14131</v>
      </c>
      <c r="C45">
        <v>1.3220000000000001</v>
      </c>
      <c r="D45">
        <v>518.32372999999995</v>
      </c>
      <c r="E45" t="s">
        <v>325</v>
      </c>
      <c r="F45" t="s">
        <v>326</v>
      </c>
      <c r="G45" t="s">
        <v>222</v>
      </c>
      <c r="H45" t="s">
        <v>63</v>
      </c>
      <c r="I45">
        <v>0.68</v>
      </c>
      <c r="J45" t="b">
        <v>1</v>
      </c>
      <c r="K45">
        <v>5.524</v>
      </c>
      <c r="L45">
        <v>518.32410000000004</v>
      </c>
      <c r="M45" t="s">
        <v>327</v>
      </c>
      <c r="N45" t="s">
        <v>328</v>
      </c>
      <c r="O45" t="s">
        <v>329</v>
      </c>
      <c r="P45" t="s">
        <v>330</v>
      </c>
      <c r="Q45">
        <v>410</v>
      </c>
      <c r="R45" t="b">
        <v>0</v>
      </c>
      <c r="S45" t="b">
        <v>1</v>
      </c>
      <c r="T45" t="b">
        <v>1</v>
      </c>
      <c r="U45" t="s">
        <v>68</v>
      </c>
      <c r="V45" t="b">
        <v>0</v>
      </c>
      <c r="W45" t="b">
        <v>0</v>
      </c>
      <c r="X45">
        <v>14131</v>
      </c>
      <c r="Y45">
        <v>0</v>
      </c>
      <c r="Z45">
        <v>0</v>
      </c>
      <c r="AA45">
        <v>1</v>
      </c>
      <c r="AB45">
        <v>0.55000000000000004</v>
      </c>
      <c r="AC45">
        <v>0.67</v>
      </c>
      <c r="AD45">
        <v>0.85</v>
      </c>
      <c r="AE45">
        <v>3</v>
      </c>
      <c r="AF45">
        <v>2</v>
      </c>
      <c r="AG45">
        <v>2.41</v>
      </c>
      <c r="AH45">
        <v>804.28</v>
      </c>
      <c r="AI45" t="s">
        <v>210</v>
      </c>
      <c r="AJ45" t="s">
        <v>331</v>
      </c>
      <c r="AK45" t="s">
        <v>332</v>
      </c>
      <c r="AL45">
        <v>495255767</v>
      </c>
      <c r="AM45">
        <v>84620631</v>
      </c>
      <c r="AN45">
        <v>56160073</v>
      </c>
      <c r="AO45">
        <v>77185223</v>
      </c>
      <c r="AP45">
        <v>82033079</v>
      </c>
      <c r="AQ45">
        <v>183824</v>
      </c>
      <c r="AR45">
        <v>184453</v>
      </c>
      <c r="AS45">
        <v>469479</v>
      </c>
      <c r="AT45">
        <v>682974</v>
      </c>
      <c r="AU45">
        <v>157889</v>
      </c>
      <c r="AV45">
        <v>389887</v>
      </c>
      <c r="AW45">
        <v>92860655</v>
      </c>
      <c r="AX45">
        <v>83117919</v>
      </c>
      <c r="AY45">
        <v>86320371</v>
      </c>
      <c r="AZ45">
        <v>74114675</v>
      </c>
      <c r="BA45">
        <v>75862694</v>
      </c>
      <c r="BB45">
        <v>77967724</v>
      </c>
      <c r="BC45">
        <v>93405028</v>
      </c>
      <c r="BD45">
        <v>82169170</v>
      </c>
      <c r="BE45" s="3">
        <v>77007448.079999998</v>
      </c>
      <c r="BF45">
        <v>108370319</v>
      </c>
      <c r="BG45">
        <v>0.71383908299999999</v>
      </c>
    </row>
    <row r="46" spans="1:59" x14ac:dyDescent="0.2">
      <c r="A46" s="2" t="s">
        <v>202</v>
      </c>
      <c r="B46">
        <v>15667</v>
      </c>
      <c r="C46">
        <v>5.758</v>
      </c>
      <c r="D46">
        <v>552.40210000000002</v>
      </c>
      <c r="E46" t="s">
        <v>333</v>
      </c>
      <c r="F46" t="s">
        <v>334</v>
      </c>
      <c r="G46" t="s">
        <v>222</v>
      </c>
      <c r="H46" t="s">
        <v>63</v>
      </c>
      <c r="I46">
        <v>0.53</v>
      </c>
      <c r="J46" t="b">
        <v>1</v>
      </c>
      <c r="K46">
        <v>7.2949999999999999</v>
      </c>
      <c r="L46">
        <v>552.40239999999994</v>
      </c>
      <c r="M46" t="s">
        <v>335</v>
      </c>
      <c r="N46" t="s">
        <v>328</v>
      </c>
      <c r="O46" t="s">
        <v>336</v>
      </c>
      <c r="P46" t="s">
        <v>337</v>
      </c>
      <c r="Q46">
        <v>410</v>
      </c>
      <c r="R46" t="b">
        <v>0</v>
      </c>
      <c r="S46" t="b">
        <v>1</v>
      </c>
      <c r="T46" t="b">
        <v>1</v>
      </c>
      <c r="U46" t="s">
        <v>68</v>
      </c>
      <c r="V46" t="b">
        <v>0</v>
      </c>
      <c r="W46" t="b">
        <v>0</v>
      </c>
      <c r="X46">
        <v>15667</v>
      </c>
      <c r="Y46">
        <v>0</v>
      </c>
      <c r="Z46">
        <v>0</v>
      </c>
      <c r="AA46">
        <v>1</v>
      </c>
      <c r="AB46">
        <v>0.15</v>
      </c>
      <c r="AC46">
        <v>0.24</v>
      </c>
      <c r="AD46">
        <v>0.74</v>
      </c>
      <c r="AE46">
        <v>3</v>
      </c>
      <c r="AF46">
        <v>2</v>
      </c>
      <c r="AG46">
        <v>2.19</v>
      </c>
      <c r="AH46">
        <v>53.47</v>
      </c>
      <c r="AI46" t="s">
        <v>210</v>
      </c>
      <c r="AJ46" t="s">
        <v>338</v>
      </c>
      <c r="AK46" t="s">
        <v>339</v>
      </c>
      <c r="AL46">
        <v>24488127</v>
      </c>
      <c r="AM46">
        <v>2187013</v>
      </c>
      <c r="AN46">
        <v>1235400</v>
      </c>
      <c r="AO46">
        <v>1664969</v>
      </c>
      <c r="AP46">
        <v>286492</v>
      </c>
      <c r="AQ46">
        <v>483193</v>
      </c>
      <c r="AR46">
        <v>238836</v>
      </c>
      <c r="AS46">
        <v>400097</v>
      </c>
      <c r="AT46">
        <v>130746</v>
      </c>
      <c r="AU46">
        <v>798933</v>
      </c>
      <c r="AV46">
        <v>506812</v>
      </c>
      <c r="AW46">
        <v>1221996</v>
      </c>
      <c r="AX46">
        <v>738862</v>
      </c>
      <c r="AY46">
        <v>1049208</v>
      </c>
      <c r="AZ46">
        <v>532505</v>
      </c>
      <c r="BA46">
        <v>714406</v>
      </c>
      <c r="BB46">
        <v>2142459</v>
      </c>
      <c r="BC46">
        <v>723040</v>
      </c>
      <c r="BD46">
        <v>3658994</v>
      </c>
      <c r="BE46" s="3">
        <v>2273794.128</v>
      </c>
      <c r="BF46">
        <v>5448736.324</v>
      </c>
      <c r="BG46">
        <v>0.54308236200000004</v>
      </c>
    </row>
    <row r="47" spans="1:59" x14ac:dyDescent="0.2">
      <c r="A47" s="2" t="s">
        <v>202</v>
      </c>
      <c r="B47">
        <v>11424</v>
      </c>
      <c r="C47">
        <v>4.5369999999999999</v>
      </c>
      <c r="D47">
        <v>468.34546</v>
      </c>
      <c r="E47" t="s">
        <v>347</v>
      </c>
      <c r="F47" t="s">
        <v>354</v>
      </c>
      <c r="G47" t="s">
        <v>222</v>
      </c>
      <c r="H47" t="s">
        <v>63</v>
      </c>
      <c r="I47">
        <v>0.16</v>
      </c>
      <c r="J47" t="b">
        <v>1</v>
      </c>
      <c r="K47">
        <v>5.88</v>
      </c>
      <c r="L47">
        <v>468.34491000000003</v>
      </c>
      <c r="M47" t="s">
        <v>349</v>
      </c>
      <c r="N47" t="s">
        <v>342</v>
      </c>
      <c r="O47" t="s">
        <v>350</v>
      </c>
      <c r="P47" t="s">
        <v>351</v>
      </c>
      <c r="Q47">
        <v>410</v>
      </c>
      <c r="R47" t="b">
        <v>0</v>
      </c>
      <c r="S47" t="b">
        <v>1</v>
      </c>
      <c r="T47" t="b">
        <v>1</v>
      </c>
      <c r="U47" t="s">
        <v>68</v>
      </c>
      <c r="V47" t="b">
        <v>0</v>
      </c>
      <c r="W47" t="b">
        <v>0</v>
      </c>
      <c r="X47">
        <v>11424</v>
      </c>
      <c r="Y47">
        <v>0</v>
      </c>
      <c r="Z47">
        <v>0</v>
      </c>
      <c r="AA47">
        <v>1</v>
      </c>
      <c r="AB47">
        <v>0.15</v>
      </c>
      <c r="AC47">
        <v>0.22</v>
      </c>
      <c r="AD47">
        <v>0.94</v>
      </c>
      <c r="AE47">
        <v>5</v>
      </c>
      <c r="AF47">
        <v>2</v>
      </c>
      <c r="AG47">
        <v>2.27</v>
      </c>
      <c r="AH47">
        <v>9.7799999999999994</v>
      </c>
      <c r="AI47" t="s">
        <v>210</v>
      </c>
      <c r="AJ47" t="s">
        <v>355</v>
      </c>
      <c r="AK47" t="s">
        <v>353</v>
      </c>
      <c r="AL47">
        <v>1243078</v>
      </c>
      <c r="AM47">
        <v>153148</v>
      </c>
      <c r="AN47">
        <v>183184</v>
      </c>
      <c r="AO47">
        <v>22715</v>
      </c>
      <c r="AP47">
        <v>101017</v>
      </c>
      <c r="AQ47">
        <v>380101</v>
      </c>
      <c r="AR47">
        <v>171919</v>
      </c>
      <c r="AS47">
        <v>337721</v>
      </c>
      <c r="AT47">
        <v>210935</v>
      </c>
      <c r="AU47">
        <v>186928</v>
      </c>
      <c r="AV47">
        <v>349464</v>
      </c>
      <c r="AW47">
        <v>159219</v>
      </c>
      <c r="AX47">
        <v>114122</v>
      </c>
      <c r="AY47">
        <v>176739</v>
      </c>
      <c r="AZ47">
        <v>178637</v>
      </c>
      <c r="BA47">
        <v>86274</v>
      </c>
      <c r="BB47">
        <v>72509</v>
      </c>
      <c r="BC47">
        <v>201821</v>
      </c>
      <c r="BD47">
        <v>139973</v>
      </c>
      <c r="BE47" s="3">
        <v>235237.05100000001</v>
      </c>
      <c r="BF47">
        <v>260957.27549999999</v>
      </c>
      <c r="BG47">
        <v>1.174348196</v>
      </c>
    </row>
    <row r="48" spans="1:59" x14ac:dyDescent="0.2">
      <c r="A48" s="2" t="s">
        <v>202</v>
      </c>
      <c r="B48">
        <v>3476</v>
      </c>
      <c r="C48">
        <v>9.7270000000000003</v>
      </c>
      <c r="D48">
        <v>369.35070999999999</v>
      </c>
      <c r="E48" t="s">
        <v>378</v>
      </c>
      <c r="F48" t="s">
        <v>378</v>
      </c>
      <c r="G48" t="s">
        <v>379</v>
      </c>
      <c r="H48" t="s">
        <v>63</v>
      </c>
      <c r="I48">
        <v>0.95</v>
      </c>
      <c r="J48" t="b">
        <v>0</v>
      </c>
      <c r="K48">
        <v>8.6379999999999999</v>
      </c>
      <c r="L48">
        <v>369.35158999999999</v>
      </c>
      <c r="M48" t="s">
        <v>380</v>
      </c>
      <c r="N48" t="s">
        <v>381</v>
      </c>
      <c r="O48" t="s">
        <v>382</v>
      </c>
      <c r="P48" t="s">
        <v>383</v>
      </c>
      <c r="Q48">
        <v>530</v>
      </c>
      <c r="R48" t="b">
        <v>0</v>
      </c>
      <c r="S48" t="b">
        <v>1</v>
      </c>
      <c r="T48" t="b">
        <v>0</v>
      </c>
      <c r="U48" t="s">
        <v>68</v>
      </c>
      <c r="V48" t="b">
        <v>0</v>
      </c>
      <c r="W48" t="b">
        <v>0</v>
      </c>
      <c r="X48">
        <v>3476</v>
      </c>
      <c r="Y48">
        <v>0</v>
      </c>
      <c r="Z48">
        <v>0</v>
      </c>
      <c r="AA48">
        <v>1</v>
      </c>
      <c r="AB48">
        <v>-1</v>
      </c>
      <c r="AC48">
        <v>-1</v>
      </c>
      <c r="AD48">
        <v>-1</v>
      </c>
      <c r="AE48">
        <v>-1</v>
      </c>
      <c r="AF48">
        <v>-1</v>
      </c>
      <c r="AG48">
        <v>1</v>
      </c>
      <c r="AH48">
        <v>124.43</v>
      </c>
      <c r="AI48" t="s">
        <v>384</v>
      </c>
      <c r="AJ48" t="s">
        <v>385</v>
      </c>
      <c r="AK48" t="s">
        <v>63</v>
      </c>
      <c r="AL48">
        <v>0</v>
      </c>
      <c r="AM48">
        <v>5431030</v>
      </c>
      <c r="AN48">
        <v>1855904</v>
      </c>
      <c r="AO48">
        <v>2863701</v>
      </c>
      <c r="AP48">
        <v>2988478</v>
      </c>
      <c r="AQ48">
        <v>7159417</v>
      </c>
      <c r="AR48">
        <v>11628838</v>
      </c>
      <c r="AS48">
        <v>12267513</v>
      </c>
      <c r="AT48">
        <v>10097484</v>
      </c>
      <c r="AU48">
        <v>4531784</v>
      </c>
      <c r="AV48">
        <v>11084427</v>
      </c>
      <c r="AW48">
        <v>7010952</v>
      </c>
      <c r="AX48">
        <v>1595065</v>
      </c>
      <c r="AY48">
        <v>2822017</v>
      </c>
      <c r="AZ48">
        <v>2852112</v>
      </c>
      <c r="BA48">
        <v>2351873</v>
      </c>
      <c r="BB48">
        <v>3676704</v>
      </c>
      <c r="BC48">
        <v>1773928</v>
      </c>
      <c r="BD48">
        <v>8241745</v>
      </c>
      <c r="BE48" s="3">
        <v>5275419.585</v>
      </c>
      <c r="BF48">
        <v>3811967.108</v>
      </c>
      <c r="BG48">
        <v>2.382553707</v>
      </c>
    </row>
    <row r="49" spans="1:59" x14ac:dyDescent="0.2">
      <c r="A49" s="2" t="s">
        <v>202</v>
      </c>
      <c r="B49">
        <v>15048</v>
      </c>
      <c r="C49">
        <v>6.6820000000000004</v>
      </c>
      <c r="D49">
        <v>538.42223999999999</v>
      </c>
      <c r="E49" t="s">
        <v>368</v>
      </c>
      <c r="F49" t="s">
        <v>375</v>
      </c>
      <c r="G49" t="s">
        <v>222</v>
      </c>
      <c r="H49" t="s">
        <v>63</v>
      </c>
      <c r="I49">
        <v>0.05</v>
      </c>
      <c r="J49" t="b">
        <v>1</v>
      </c>
      <c r="K49">
        <v>7.6429999999999998</v>
      </c>
      <c r="L49">
        <v>538.42309999999998</v>
      </c>
      <c r="M49" t="s">
        <v>370</v>
      </c>
      <c r="N49" t="s">
        <v>342</v>
      </c>
      <c r="O49" t="s">
        <v>371</v>
      </c>
      <c r="P49" t="s">
        <v>372</v>
      </c>
      <c r="Q49">
        <v>410</v>
      </c>
      <c r="R49" t="b">
        <v>0</v>
      </c>
      <c r="S49" t="b">
        <v>1</v>
      </c>
      <c r="T49" t="b">
        <v>1</v>
      </c>
      <c r="U49" t="s">
        <v>68</v>
      </c>
      <c r="V49" t="b">
        <v>0</v>
      </c>
      <c r="W49" t="b">
        <v>0</v>
      </c>
      <c r="X49">
        <v>15048</v>
      </c>
      <c r="Y49">
        <v>0</v>
      </c>
      <c r="Z49">
        <v>0</v>
      </c>
      <c r="AA49">
        <v>1</v>
      </c>
      <c r="AB49">
        <v>0.2</v>
      </c>
      <c r="AC49">
        <v>0.21</v>
      </c>
      <c r="AD49">
        <v>0.9</v>
      </c>
      <c r="AE49">
        <v>5</v>
      </c>
      <c r="AF49">
        <v>2</v>
      </c>
      <c r="AG49">
        <v>2.2599999999999998</v>
      </c>
      <c r="AH49">
        <v>19.11</v>
      </c>
      <c r="AI49" t="s">
        <v>210</v>
      </c>
      <c r="AJ49" t="s">
        <v>376</v>
      </c>
      <c r="AK49" t="s">
        <v>377</v>
      </c>
      <c r="AL49">
        <v>642897</v>
      </c>
      <c r="AM49">
        <v>51417</v>
      </c>
      <c r="AN49">
        <v>57037</v>
      </c>
      <c r="AO49">
        <v>54824</v>
      </c>
      <c r="AP49">
        <v>72177</v>
      </c>
      <c r="AQ49">
        <v>7706</v>
      </c>
      <c r="AR49">
        <v>11674</v>
      </c>
      <c r="AS49">
        <v>9043</v>
      </c>
      <c r="AT49">
        <v>6106</v>
      </c>
      <c r="AU49">
        <v>9334</v>
      </c>
      <c r="AV49">
        <v>19822</v>
      </c>
      <c r="AW49">
        <v>88636</v>
      </c>
      <c r="AX49">
        <v>18041</v>
      </c>
      <c r="AY49">
        <v>79943</v>
      </c>
      <c r="AZ49">
        <v>63940</v>
      </c>
      <c r="BA49">
        <v>72847</v>
      </c>
      <c r="BB49">
        <v>34913</v>
      </c>
      <c r="BC49">
        <v>30616</v>
      </c>
      <c r="BD49">
        <v>130461</v>
      </c>
      <c r="BE49" s="3">
        <v>76917.589240000001</v>
      </c>
      <c r="BF49">
        <v>141216.4736</v>
      </c>
      <c r="BG49">
        <v>1.597256878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CF36-03DD-8E48-BBF0-1E717C1BC9E2}">
  <dimension ref="A1:BG4"/>
  <sheetViews>
    <sheetView tabSelected="1" topLeftCell="AQ1" workbookViewId="0">
      <selection activeCell="BD11" sqref="BD11"/>
    </sheetView>
  </sheetViews>
  <sheetFormatPr baseColWidth="10" defaultRowHeight="16" x14ac:dyDescent="0.2"/>
  <sheetData>
    <row r="1" spans="1:59" x14ac:dyDescent="0.2">
      <c r="A1" t="s">
        <v>0</v>
      </c>
      <c r="B1" t="s">
        <v>386</v>
      </c>
      <c r="C1" t="s">
        <v>387</v>
      </c>
      <c r="D1" t="s">
        <v>388</v>
      </c>
      <c r="E1" t="s">
        <v>389</v>
      </c>
      <c r="F1" t="s">
        <v>5</v>
      </c>
      <c r="G1" t="s">
        <v>390</v>
      </c>
      <c r="H1" t="s">
        <v>391</v>
      </c>
      <c r="I1" t="s">
        <v>392</v>
      </c>
      <c r="J1" t="s">
        <v>393</v>
      </c>
      <c r="K1" t="s">
        <v>394</v>
      </c>
      <c r="L1" t="s">
        <v>395</v>
      </c>
      <c r="M1" t="s">
        <v>12</v>
      </c>
      <c r="N1" t="s">
        <v>13</v>
      </c>
      <c r="O1" t="s">
        <v>14</v>
      </c>
      <c r="P1" t="s">
        <v>15</v>
      </c>
      <c r="Q1" t="s">
        <v>396</v>
      </c>
      <c r="R1" t="s">
        <v>397</v>
      </c>
      <c r="S1" t="s">
        <v>398</v>
      </c>
      <c r="T1" t="s">
        <v>399</v>
      </c>
      <c r="U1" t="s">
        <v>20</v>
      </c>
      <c r="V1" t="s">
        <v>400</v>
      </c>
      <c r="W1" t="s">
        <v>401</v>
      </c>
      <c r="X1" t="s">
        <v>402</v>
      </c>
      <c r="Y1" t="s">
        <v>403</v>
      </c>
      <c r="Z1" t="s">
        <v>404</v>
      </c>
      <c r="AA1" t="s">
        <v>405</v>
      </c>
      <c r="AB1" t="s">
        <v>406</v>
      </c>
      <c r="AC1" t="s">
        <v>407</v>
      </c>
      <c r="AD1" t="s">
        <v>408</v>
      </c>
      <c r="AE1" t="s">
        <v>409</v>
      </c>
      <c r="AF1" t="s">
        <v>410</v>
      </c>
      <c r="AG1" t="s">
        <v>411</v>
      </c>
      <c r="AH1" t="s">
        <v>412</v>
      </c>
      <c r="AI1" t="s">
        <v>413</v>
      </c>
      <c r="AJ1" t="s">
        <v>414</v>
      </c>
      <c r="AK1" t="s">
        <v>415</v>
      </c>
      <c r="AL1" t="s">
        <v>210</v>
      </c>
      <c r="AM1" t="s">
        <v>416</v>
      </c>
      <c r="AN1" t="s">
        <v>417</v>
      </c>
      <c r="AO1" t="s">
        <v>418</v>
      </c>
      <c r="AP1" t="s">
        <v>419</v>
      </c>
      <c r="AQ1" t="s">
        <v>384</v>
      </c>
      <c r="AR1" t="s">
        <v>420</v>
      </c>
      <c r="AS1" t="s">
        <v>421</v>
      </c>
      <c r="AT1" t="s">
        <v>422</v>
      </c>
      <c r="AU1" t="s">
        <v>423</v>
      </c>
      <c r="AV1" t="s">
        <v>424</v>
      </c>
      <c r="AW1" t="s">
        <v>425</v>
      </c>
      <c r="AX1" t="s">
        <v>426</v>
      </c>
      <c r="AY1" t="s">
        <v>427</v>
      </c>
      <c r="AZ1" t="s">
        <v>428</v>
      </c>
      <c r="BA1" t="s">
        <v>429</v>
      </c>
      <c r="BB1" t="s">
        <v>430</v>
      </c>
      <c r="BC1" t="s">
        <v>431</v>
      </c>
      <c r="BD1" t="s">
        <v>432</v>
      </c>
      <c r="BE1">
        <v>1</v>
      </c>
      <c r="BF1">
        <v>1</v>
      </c>
      <c r="BG1" t="s">
        <v>58</v>
      </c>
    </row>
    <row r="2" spans="1:59" x14ac:dyDescent="0.2">
      <c r="A2" t="s">
        <v>202</v>
      </c>
      <c r="B2" s="2">
        <v>12470</v>
      </c>
      <c r="C2">
        <v>9.3040000000000003</v>
      </c>
      <c r="D2">
        <v>492.47762999999998</v>
      </c>
      <c r="E2" t="s">
        <v>433</v>
      </c>
      <c r="F2" t="s">
        <v>434</v>
      </c>
      <c r="G2" t="s">
        <v>379</v>
      </c>
      <c r="H2" t="s">
        <v>63</v>
      </c>
      <c r="I2">
        <v>0.11</v>
      </c>
      <c r="J2" t="b">
        <v>1</v>
      </c>
      <c r="K2">
        <v>8.94</v>
      </c>
      <c r="L2">
        <v>492.47751</v>
      </c>
      <c r="M2" t="s">
        <v>435</v>
      </c>
      <c r="N2" t="s">
        <v>436</v>
      </c>
      <c r="O2" t="s">
        <v>437</v>
      </c>
      <c r="P2" t="s">
        <v>438</v>
      </c>
      <c r="Q2">
        <v>410</v>
      </c>
      <c r="R2" t="b">
        <v>0</v>
      </c>
      <c r="S2" t="b">
        <v>1</v>
      </c>
      <c r="T2" t="b">
        <v>1</v>
      </c>
      <c r="U2" t="s">
        <v>68</v>
      </c>
      <c r="V2" t="b">
        <v>0</v>
      </c>
      <c r="W2" t="b">
        <v>0</v>
      </c>
      <c r="X2">
        <v>12470</v>
      </c>
      <c r="Y2">
        <v>0</v>
      </c>
      <c r="Z2">
        <v>0</v>
      </c>
      <c r="AA2">
        <v>1</v>
      </c>
      <c r="AB2">
        <v>0.13</v>
      </c>
      <c r="AC2">
        <v>0.2</v>
      </c>
      <c r="AD2">
        <v>0.84</v>
      </c>
      <c r="AE2">
        <v>6</v>
      </c>
      <c r="AF2">
        <v>2</v>
      </c>
      <c r="AG2">
        <v>2.2200000000000002</v>
      </c>
      <c r="AH2">
        <v>6.79</v>
      </c>
      <c r="AI2" t="s">
        <v>210</v>
      </c>
      <c r="AJ2" t="s">
        <v>439</v>
      </c>
      <c r="AK2" t="s">
        <v>440</v>
      </c>
      <c r="AL2">
        <v>386294</v>
      </c>
      <c r="AM2">
        <v>6495</v>
      </c>
      <c r="AN2">
        <v>18935</v>
      </c>
      <c r="AO2">
        <v>19978</v>
      </c>
      <c r="AP2">
        <v>17046</v>
      </c>
      <c r="AQ2">
        <v>118350</v>
      </c>
      <c r="AR2">
        <v>67668</v>
      </c>
      <c r="AS2">
        <v>110316</v>
      </c>
      <c r="AT2">
        <v>49206</v>
      </c>
      <c r="AU2">
        <v>0</v>
      </c>
      <c r="AV2">
        <v>42032</v>
      </c>
      <c r="AW2">
        <v>12711</v>
      </c>
      <c r="AX2">
        <v>16259</v>
      </c>
      <c r="AY2">
        <v>24256</v>
      </c>
      <c r="AZ2">
        <v>16229</v>
      </c>
      <c r="BA2">
        <v>6046</v>
      </c>
      <c r="BB2">
        <v>9554</v>
      </c>
      <c r="BC2">
        <v>7382</v>
      </c>
      <c r="BD2">
        <v>23232</v>
      </c>
      <c r="BE2">
        <v>50104.691449999998</v>
      </c>
      <c r="BF2">
        <v>88052.190480000005</v>
      </c>
      <c r="BG2">
        <f>ABS(L2-D2)/L2*10000000</f>
        <v>2.4366594929633685</v>
      </c>
    </row>
    <row r="3" spans="1:59" x14ac:dyDescent="0.2">
      <c r="A3" t="s">
        <v>202</v>
      </c>
      <c r="B3" s="4">
        <v>15500</v>
      </c>
      <c r="C3">
        <v>12.801</v>
      </c>
      <c r="D3">
        <v>548.54021999999998</v>
      </c>
      <c r="E3" t="s">
        <v>441</v>
      </c>
      <c r="F3" t="s">
        <v>442</v>
      </c>
      <c r="G3" t="s">
        <v>379</v>
      </c>
      <c r="H3" t="s">
        <v>63</v>
      </c>
      <c r="I3">
        <v>0.37</v>
      </c>
      <c r="J3" t="b">
        <v>1</v>
      </c>
      <c r="K3">
        <v>10.583</v>
      </c>
      <c r="L3">
        <v>548.54010000000005</v>
      </c>
      <c r="M3" t="s">
        <v>443</v>
      </c>
      <c r="N3" t="s">
        <v>436</v>
      </c>
      <c r="O3" t="s">
        <v>444</v>
      </c>
      <c r="P3" t="s">
        <v>445</v>
      </c>
      <c r="Q3">
        <v>410</v>
      </c>
      <c r="R3" t="b">
        <v>0</v>
      </c>
      <c r="S3" t="b">
        <v>1</v>
      </c>
      <c r="T3" t="b">
        <v>1</v>
      </c>
      <c r="U3" t="s">
        <v>68</v>
      </c>
      <c r="V3" t="b">
        <v>0</v>
      </c>
      <c r="W3" t="b">
        <v>0</v>
      </c>
      <c r="X3">
        <v>15500</v>
      </c>
      <c r="Y3">
        <v>0</v>
      </c>
      <c r="Z3">
        <v>0</v>
      </c>
      <c r="AA3">
        <v>0.97</v>
      </c>
      <c r="AB3">
        <v>0.22</v>
      </c>
      <c r="AC3">
        <v>0.32</v>
      </c>
      <c r="AD3">
        <v>0.71</v>
      </c>
      <c r="AE3">
        <v>6</v>
      </c>
      <c r="AF3">
        <v>2</v>
      </c>
      <c r="AG3">
        <v>2.19</v>
      </c>
      <c r="AH3">
        <v>1975.36</v>
      </c>
      <c r="AI3" t="s">
        <v>210</v>
      </c>
      <c r="AJ3" t="s">
        <v>446</v>
      </c>
      <c r="AK3" t="s">
        <v>447</v>
      </c>
      <c r="AL3">
        <v>476078</v>
      </c>
      <c r="AM3">
        <v>7677</v>
      </c>
      <c r="AN3">
        <v>7737</v>
      </c>
      <c r="AO3">
        <v>8105</v>
      </c>
      <c r="AP3">
        <v>77346</v>
      </c>
      <c r="AQ3">
        <v>296742014</v>
      </c>
      <c r="AR3">
        <v>242631174</v>
      </c>
      <c r="AS3">
        <v>269561650</v>
      </c>
      <c r="AT3">
        <v>269582207</v>
      </c>
      <c r="AU3">
        <v>335425880</v>
      </c>
      <c r="AV3">
        <v>288333667</v>
      </c>
      <c r="AW3">
        <v>20262</v>
      </c>
      <c r="AX3">
        <v>14035</v>
      </c>
      <c r="AY3">
        <v>14404</v>
      </c>
      <c r="AZ3">
        <v>131185</v>
      </c>
      <c r="BA3">
        <v>27087</v>
      </c>
      <c r="BB3">
        <v>24723</v>
      </c>
      <c r="BC3">
        <v>31789</v>
      </c>
      <c r="BD3">
        <v>30222</v>
      </c>
      <c r="BE3">
        <v>89639328.549096704</v>
      </c>
      <c r="BF3">
        <v>136471784.34654301</v>
      </c>
      <c r="BG3">
        <f t="shared" ref="BG3:BG4" si="0">ABS(L3-D3)/L3*10000000</f>
        <v>2.1876249325145563</v>
      </c>
    </row>
    <row r="4" spans="1:59" x14ac:dyDescent="0.2">
      <c r="A4" t="s">
        <v>59</v>
      </c>
      <c r="B4" s="4">
        <v>20195</v>
      </c>
      <c r="C4">
        <v>7.0410000000000004</v>
      </c>
      <c r="D4">
        <v>865.50292999999999</v>
      </c>
      <c r="E4" t="s">
        <v>449</v>
      </c>
      <c r="F4" t="s">
        <v>450</v>
      </c>
      <c r="G4" t="s">
        <v>62</v>
      </c>
      <c r="H4" t="s">
        <v>63</v>
      </c>
      <c r="I4">
        <v>0.55000000000000004</v>
      </c>
      <c r="J4" t="b">
        <v>1</v>
      </c>
      <c r="K4">
        <v>7.95</v>
      </c>
      <c r="L4">
        <v>865.50250000000005</v>
      </c>
      <c r="M4" t="s">
        <v>451</v>
      </c>
      <c r="N4" t="s">
        <v>448</v>
      </c>
      <c r="O4" t="s">
        <v>452</v>
      </c>
      <c r="P4" t="s">
        <v>453</v>
      </c>
      <c r="Q4">
        <v>530</v>
      </c>
      <c r="R4" t="b">
        <v>0</v>
      </c>
      <c r="S4" t="b">
        <v>1</v>
      </c>
      <c r="T4" t="b">
        <v>0</v>
      </c>
      <c r="U4" t="s">
        <v>68</v>
      </c>
      <c r="V4" t="b">
        <v>0</v>
      </c>
      <c r="W4" t="b">
        <v>0</v>
      </c>
      <c r="X4">
        <v>20195</v>
      </c>
      <c r="Y4">
        <v>0</v>
      </c>
      <c r="Z4">
        <v>0</v>
      </c>
      <c r="AA4">
        <v>1</v>
      </c>
      <c r="AB4">
        <v>0.02</v>
      </c>
      <c r="AC4">
        <v>0.04</v>
      </c>
      <c r="AD4">
        <v>0.36</v>
      </c>
      <c r="AE4">
        <v>4</v>
      </c>
      <c r="AF4">
        <v>2</v>
      </c>
      <c r="AG4">
        <v>1.95</v>
      </c>
      <c r="AH4">
        <v>9861.7199999999993</v>
      </c>
      <c r="AI4" t="s">
        <v>69</v>
      </c>
      <c r="AJ4" t="s">
        <v>454</v>
      </c>
      <c r="AK4" t="s">
        <v>455</v>
      </c>
      <c r="AL4">
        <v>255644</v>
      </c>
      <c r="AM4">
        <v>0</v>
      </c>
      <c r="AN4">
        <v>27256</v>
      </c>
      <c r="AO4">
        <v>126518</v>
      </c>
      <c r="AP4">
        <v>69843</v>
      </c>
      <c r="AQ4">
        <v>9351114</v>
      </c>
      <c r="AR4">
        <v>2063037</v>
      </c>
      <c r="AS4">
        <v>2284474</v>
      </c>
      <c r="AT4">
        <v>1547727</v>
      </c>
      <c r="AU4">
        <v>415662753</v>
      </c>
      <c r="AV4">
        <v>2059493</v>
      </c>
      <c r="AW4">
        <v>21873</v>
      </c>
      <c r="AX4">
        <v>16129</v>
      </c>
      <c r="AY4">
        <v>326499</v>
      </c>
      <c r="AZ4">
        <v>239341</v>
      </c>
      <c r="BA4">
        <v>28427</v>
      </c>
      <c r="BB4">
        <v>42884</v>
      </c>
      <c r="BC4">
        <v>49631</v>
      </c>
      <c r="BD4">
        <v>9610</v>
      </c>
      <c r="BE4">
        <v>21721586.506251201</v>
      </c>
      <c r="BF4">
        <v>92748344.220700294</v>
      </c>
      <c r="BG4">
        <f t="shared" si="0"/>
        <v>4.9682121072733567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Invivo_sorted_NSCs_validated_11</vt:lpstr>
      <vt:lpstr>low_score_new_lipids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Freshveggie Erickson</dc:creator>
  <cp:lastModifiedBy>Freshveggie Erickson</cp:lastModifiedBy>
  <dcterms:created xsi:type="dcterms:W3CDTF">2025-11-19T18:36:17Z</dcterms:created>
  <dcterms:modified xsi:type="dcterms:W3CDTF">2025-11-23T20:23:28Z</dcterms:modified>
</cp:coreProperties>
</file>